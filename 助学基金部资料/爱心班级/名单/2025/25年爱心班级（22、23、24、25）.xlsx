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</sheets>
  <definedNames>
    <definedName name="_xlnm._FilterDatabase" localSheetId="0" hidden="1">Sheet1!$A$1:$A$145</definedName>
    <definedName name="_xlnm._FilterDatabase" localSheetId="3" hidden="1">Sheet5!$J$1:$J$145</definedName>
    <definedName name="_xlnm.Print_Area" localSheetId="2">Sheet3!$A$1:$D$144</definedName>
    <definedName name="_xlnm.Print_Titles" localSheetId="2">Sheet3!$1:$1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<sst xmlns="http://schemas.openxmlformats.org/spreadsheetml/2006/main" count="2508" uniqueCount="442">
  <si>
    <t>院系</t>
  </si>
  <si>
    <t>年级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</si>
  <si>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</si>
  <si>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</si>
  <si>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</si>
  <si>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</si>
  <si>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</si>
  <si>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</si>
  <si>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</si>
  <si>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</si>
  <si>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</si>
  <si>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碧泉书院·哲学与历史文化学院</t>
  </si>
  <si>
    <t>24级</t>
  </si>
  <si>
    <t>历史学1班</t>
  </si>
  <si>
    <t>刘正杰</t>
  </si>
  <si>
    <t>北苑1栋110</t>
  </si>
  <si>
    <t>历史学2班</t>
  </si>
  <si>
    <t>姜敏</t>
  </si>
  <si>
    <t>北苑6栋308</t>
  </si>
  <si>
    <t>否</t>
  </si>
  <si>
    <t>25级</t>
  </si>
  <si>
    <t>杜靖博</t>
  </si>
  <si>
    <t xml:space="preserve"> 西湖三期12栋107</t>
  </si>
  <si>
    <t>朱莉珊</t>
  </si>
  <si>
    <t>历史学3班</t>
  </si>
  <si>
    <t>岳阳芮</t>
  </si>
  <si>
    <t>西湖14栋</t>
  </si>
  <si>
    <t>历史学4班</t>
  </si>
  <si>
    <t>李欣洁</t>
  </si>
  <si>
    <t>西湖14栋421</t>
  </si>
  <si>
    <t>社会学2班</t>
  </si>
  <si>
    <t>孙嘉扬</t>
  </si>
  <si>
    <t>西湖14栋505</t>
  </si>
  <si>
    <t>材料科学与工程学院</t>
  </si>
  <si>
    <t>材料类（师昌绪班）</t>
  </si>
  <si>
    <t>周鹏杰</t>
  </si>
  <si>
    <t>金翰林9栋410</t>
  </si>
  <si>
    <t>刘文娜</t>
  </si>
  <si>
    <t>材料物理1班</t>
  </si>
  <si>
    <t>刘丰铭</t>
  </si>
  <si>
    <t>金翰林9栋</t>
  </si>
  <si>
    <t>材料物理2班</t>
  </si>
  <si>
    <t>安育博</t>
  </si>
  <si>
    <t>金翰林9栋423</t>
  </si>
  <si>
    <t>新能源材料与器件1班</t>
  </si>
  <si>
    <t>李长磊</t>
  </si>
  <si>
    <t>金翰林9栋511</t>
  </si>
  <si>
    <t>陈驰</t>
  </si>
  <si>
    <t>新能源材料与器件2班</t>
  </si>
  <si>
    <t>杨毅轩</t>
  </si>
  <si>
    <t>金翰林9栋521</t>
  </si>
  <si>
    <t>新能源材料与器件3班</t>
  </si>
  <si>
    <t>何贝</t>
  </si>
  <si>
    <t>西湖15栋204</t>
  </si>
  <si>
    <t>创业学院</t>
  </si>
  <si>
    <t>工商管理（创业菁英班）</t>
  </si>
  <si>
    <t>王静怡</t>
  </si>
  <si>
    <t>西湖十四栋</t>
  </si>
  <si>
    <t>陈海玉</t>
  </si>
  <si>
    <t>计算机科学与技术（创业菁英班）</t>
  </si>
  <si>
    <t>李超慧</t>
  </si>
  <si>
    <t>西湖十四栋623</t>
  </si>
  <si>
    <t>人工智能（创业菁英班）</t>
  </si>
  <si>
    <t>李嘉峰</t>
  </si>
  <si>
    <t>西湖十二栋</t>
  </si>
  <si>
    <t>智能制造工程（创业菁英班）</t>
  </si>
  <si>
    <t>胡昊敏</t>
  </si>
  <si>
    <t>法学学部</t>
  </si>
  <si>
    <t>法学4班</t>
  </si>
  <si>
    <t>潘佳垚</t>
  </si>
  <si>
    <t>北苑3栋509</t>
  </si>
  <si>
    <t>是</t>
  </si>
  <si>
    <t>知识产权1班</t>
  </si>
  <si>
    <t>卢彦妃</t>
  </si>
  <si>
    <t>北苑3栋305</t>
  </si>
  <si>
    <t>知识产权2班</t>
  </si>
  <si>
    <t>王鑫</t>
  </si>
  <si>
    <t>北苑3栋311</t>
  </si>
  <si>
    <t>法学1班</t>
  </si>
  <si>
    <t>王馨怡</t>
  </si>
  <si>
    <t>金翰林五栋</t>
  </si>
  <si>
    <t>候慧杰</t>
  </si>
  <si>
    <t>法学2班</t>
  </si>
  <si>
    <t>袁妃青</t>
  </si>
  <si>
    <t>金翰林五栋115</t>
  </si>
  <si>
    <t>法学3班</t>
  </si>
  <si>
    <t>姚雨涵</t>
  </si>
  <si>
    <t>金翰林二栋626</t>
  </si>
  <si>
    <t>曾馨月</t>
  </si>
  <si>
    <t>金翰林二栋633</t>
  </si>
  <si>
    <t>法学5班</t>
  </si>
  <si>
    <t>陈正坤</t>
  </si>
  <si>
    <t>金翰林3栋301</t>
  </si>
  <si>
    <t>法学卓越班</t>
  </si>
  <si>
    <t>高欣悦</t>
  </si>
  <si>
    <t>金翰林五栋101</t>
  </si>
  <si>
    <t>信用风险管理与法律防控1班</t>
  </si>
  <si>
    <t>谭家媛</t>
  </si>
  <si>
    <t>金翰林2栋</t>
  </si>
  <si>
    <t>信用风险管理与法律防控2班</t>
  </si>
  <si>
    <t>孔婧雯</t>
  </si>
  <si>
    <t>金翰林二栋718</t>
  </si>
  <si>
    <t>侯慧杰</t>
  </si>
  <si>
    <t>金翰林二栋723</t>
  </si>
  <si>
    <t>袁瑜蔓</t>
  </si>
  <si>
    <t>金翰林二栋731</t>
  </si>
  <si>
    <t>公共管理学院</t>
  </si>
  <si>
    <t>23级</t>
  </si>
  <si>
    <t>档案学1班</t>
  </si>
  <si>
    <t>张如意</t>
  </si>
  <si>
    <t>金翰林11栋201</t>
  </si>
  <si>
    <t>行政管理2班</t>
  </si>
  <si>
    <t>阳涓</t>
  </si>
  <si>
    <t>金翰林11栋217</t>
  </si>
  <si>
    <t>信息管理与信息系统1班</t>
  </si>
  <si>
    <t>李凯馨</t>
  </si>
  <si>
    <t>南苑2栋</t>
  </si>
  <si>
    <t>刘海灿</t>
  </si>
  <si>
    <t>信息管理与信息系统3班</t>
  </si>
  <si>
    <t>许军武</t>
  </si>
  <si>
    <t>北苑2栋102</t>
  </si>
  <si>
    <t>江柳</t>
  </si>
  <si>
    <t>西湖15栋216</t>
  </si>
  <si>
    <t>曹希曦</t>
  </si>
  <si>
    <t>公共管理类韶峰班</t>
  </si>
  <si>
    <t>王雨菲</t>
  </si>
  <si>
    <t>西湖15栋219室</t>
  </si>
  <si>
    <t>图书馆学1班</t>
  </si>
  <si>
    <t>沓歆贝</t>
  </si>
  <si>
    <t>西湖15栋302</t>
  </si>
  <si>
    <t>刘璨</t>
  </si>
  <si>
    <t>图书馆学2班</t>
  </si>
  <si>
    <t>付梦天</t>
  </si>
  <si>
    <t>西湖15栋307</t>
  </si>
  <si>
    <t>赵子琦</t>
  </si>
  <si>
    <t>金翰林3栋404</t>
  </si>
  <si>
    <t>薛昊阳</t>
  </si>
  <si>
    <t>金翰林3栋413</t>
  </si>
  <si>
    <t>应急管理2班</t>
  </si>
  <si>
    <t>陈子懿</t>
  </si>
  <si>
    <t>金翰林3栋516</t>
  </si>
  <si>
    <t>化工学院</t>
  </si>
  <si>
    <t>食品科学与工程3班</t>
  </si>
  <si>
    <t>廖欣悦</t>
  </si>
  <si>
    <t>南苑4栋210</t>
  </si>
  <si>
    <t>食品科学与工程4班</t>
  </si>
  <si>
    <t>侯雅琪</t>
  </si>
  <si>
    <t>南苑4栋213</t>
  </si>
  <si>
    <t>制药工程2班</t>
  </si>
  <si>
    <t>南苑14栋402</t>
  </si>
  <si>
    <t>制药工程3班</t>
  </si>
  <si>
    <t>赵先海</t>
  </si>
  <si>
    <t>南苑14栋405</t>
  </si>
  <si>
    <t>制药工程4班</t>
  </si>
  <si>
    <t>罗慧</t>
  </si>
  <si>
    <t>南苑4栋112</t>
  </si>
  <si>
    <t>化学工程与工艺1班</t>
  </si>
  <si>
    <t>巫栩浩</t>
  </si>
  <si>
    <t>兴湘2栋104</t>
  </si>
  <si>
    <t>化学工程与工艺5班</t>
  </si>
  <si>
    <t>徐圳钰</t>
  </si>
  <si>
    <t>187 2059 6735</t>
  </si>
  <si>
    <t>金翰林5栋204</t>
  </si>
  <si>
    <t>食品科学与工程2班</t>
  </si>
  <si>
    <t>黄湘宜</t>
  </si>
  <si>
    <t>金翰林5栋219</t>
  </si>
  <si>
    <t>梁雨菲</t>
  </si>
  <si>
    <t>制药工程1班</t>
  </si>
  <si>
    <t>刘晨</t>
  </si>
  <si>
    <t>金翰林5栋231</t>
  </si>
  <si>
    <t>刘智婷</t>
  </si>
  <si>
    <t>金翰林5栋</t>
  </si>
  <si>
    <t>唐瑞桓</t>
  </si>
  <si>
    <t>兴湘2栋505</t>
  </si>
  <si>
    <t>化学学院</t>
  </si>
  <si>
    <t>22级</t>
  </si>
  <si>
    <t>化学2班</t>
  </si>
  <si>
    <t>龙颜</t>
  </si>
  <si>
    <t>琴湖17栋</t>
  </si>
  <si>
    <t>化学3班</t>
  </si>
  <si>
    <t>樊铭宇</t>
  </si>
  <si>
    <t>西湖9栋1014</t>
  </si>
  <si>
    <t>化学类韶峰班</t>
  </si>
  <si>
    <t>王博洋</t>
  </si>
  <si>
    <t>西湖9栋215</t>
  </si>
  <si>
    <t>高分子材料与工程1班</t>
  </si>
  <si>
    <t>张雅婷</t>
  </si>
  <si>
    <t>西湖学生公寓15栋409</t>
  </si>
  <si>
    <t>叶蕊</t>
  </si>
  <si>
    <t>高分子材料与工程3班</t>
  </si>
  <si>
    <t>吴子欣</t>
  </si>
  <si>
    <t>西湖15栋</t>
  </si>
  <si>
    <t>高分子材料与工程4班</t>
  </si>
  <si>
    <t>熊弘毅</t>
  </si>
  <si>
    <t>化学1班</t>
  </si>
  <si>
    <t>常泽恩</t>
  </si>
  <si>
    <t>钱思宏</t>
  </si>
  <si>
    <t>张奥硕</t>
  </si>
  <si>
    <t>金翰林</t>
  </si>
  <si>
    <t>化学4班</t>
  </si>
  <si>
    <t>谢素娟</t>
  </si>
  <si>
    <t>化学韶峰班</t>
  </si>
  <si>
    <t>张菲</t>
  </si>
  <si>
    <t>西湖学生公寓15栋</t>
  </si>
  <si>
    <t>能源化学1班</t>
  </si>
  <si>
    <t>孙乐洋</t>
  </si>
  <si>
    <t>能源化学3班</t>
  </si>
  <si>
    <t>童雅</t>
  </si>
  <si>
    <t>环境与资源学院</t>
  </si>
  <si>
    <t>环境科学1班</t>
  </si>
  <si>
    <t>王梓童</t>
  </si>
  <si>
    <t>西湖8栋519</t>
  </si>
  <si>
    <t>安全工程2班</t>
  </si>
  <si>
    <t>林子瑄</t>
  </si>
  <si>
    <t>金翰林9栋104</t>
  </si>
  <si>
    <t>环境工程1班</t>
  </si>
  <si>
    <t>曹颖</t>
  </si>
  <si>
    <t>金翰林5栋321</t>
  </si>
  <si>
    <t>机械工程与力学学院</t>
  </si>
  <si>
    <t>工程力学3班</t>
  </si>
  <si>
    <t>胡大帅</t>
  </si>
  <si>
    <t>琴湖8栋</t>
  </si>
  <si>
    <t>易云龙</t>
  </si>
  <si>
    <t>能源与动力工程2班</t>
  </si>
  <si>
    <t>高玉如</t>
  </si>
  <si>
    <t>西湖4栋520</t>
  </si>
  <si>
    <t>工业设计1班</t>
  </si>
  <si>
    <t>胡龙俊</t>
  </si>
  <si>
    <t>西湖7栋1003</t>
  </si>
  <si>
    <t>工业设计2班</t>
  </si>
  <si>
    <t>廖贝蕾</t>
  </si>
  <si>
    <t>西湖8栋</t>
  </si>
  <si>
    <t>机械设计制造及其自动化4班</t>
  </si>
  <si>
    <t>谭林勃</t>
  </si>
  <si>
    <t>西湖7栋313</t>
  </si>
  <si>
    <t>机械设计制造及其自动化6班</t>
  </si>
  <si>
    <t>李源琦</t>
  </si>
  <si>
    <t>西湖7栋327</t>
  </si>
  <si>
    <t>机械设计制造及其自动化1班</t>
  </si>
  <si>
    <t>卿枣</t>
  </si>
  <si>
    <t>西湖14栋119</t>
  </si>
  <si>
    <t>机械设计制造及其自动化2班</t>
  </si>
  <si>
    <t>张琪凯</t>
  </si>
  <si>
    <t>计算机学院·网络空间安全学院</t>
  </si>
  <si>
    <t>计算机科学与技术2班</t>
  </si>
  <si>
    <t>周楚宇</t>
  </si>
  <si>
    <t>琴湖8栋514</t>
  </si>
  <si>
    <t>计算机科学与技术3班</t>
  </si>
  <si>
    <t>李晓烁</t>
  </si>
  <si>
    <t>西湖2栋320</t>
  </si>
  <si>
    <t>计算机科学与技术1班</t>
  </si>
  <si>
    <t>蒋南柱</t>
  </si>
  <si>
    <t>兴湘5栋521</t>
  </si>
  <si>
    <t>软件工程1班</t>
  </si>
  <si>
    <t>肖可滢</t>
  </si>
  <si>
    <t>软件工程2班</t>
  </si>
  <si>
    <t>贺健</t>
  </si>
  <si>
    <t>南苑14栋106</t>
  </si>
  <si>
    <t>软件工程4班</t>
  </si>
  <si>
    <t>赵勇兴</t>
  </si>
  <si>
    <t>南苑14栋117</t>
  </si>
  <si>
    <t>网络空间安全1班</t>
  </si>
  <si>
    <t>何佳怡</t>
  </si>
  <si>
    <t>南苑7栋210</t>
  </si>
  <si>
    <t>网络空间安全3班</t>
  </si>
  <si>
    <t>兴湘5栋205</t>
  </si>
  <si>
    <t>朱松</t>
  </si>
  <si>
    <t>兴湘八栋100</t>
  </si>
  <si>
    <t>王璟</t>
  </si>
  <si>
    <t>琅琳鑫</t>
  </si>
  <si>
    <t>西湖公寓14栋2019</t>
  </si>
  <si>
    <t>马悦</t>
  </si>
  <si>
    <t>计算机科学与技术4班</t>
  </si>
  <si>
    <t>王正浩</t>
  </si>
  <si>
    <t>兴湘8栋</t>
  </si>
  <si>
    <t>张喜彬</t>
  </si>
  <si>
    <t>兴湘八栋</t>
  </si>
  <si>
    <t>软件工程3班</t>
  </si>
  <si>
    <t>彭钟宇</t>
  </si>
  <si>
    <t>兴湘八栋211</t>
  </si>
  <si>
    <t>周鑫哲</t>
  </si>
  <si>
    <t>兴湘八栋214</t>
  </si>
  <si>
    <t>软件工程5班</t>
  </si>
  <si>
    <t>黄雅琪</t>
  </si>
  <si>
    <t>兴湘八栋221</t>
  </si>
  <si>
    <t>李喻</t>
  </si>
  <si>
    <t>西湖十四栋306</t>
  </si>
  <si>
    <t>网络空间安全2班</t>
  </si>
  <si>
    <t>李子航</t>
  </si>
  <si>
    <t>杨佳涛</t>
  </si>
  <si>
    <t>兴湘8栋306</t>
  </si>
  <si>
    <t>网络空间安全4班</t>
  </si>
  <si>
    <t>闫冬阳</t>
  </si>
  <si>
    <t>网络空间安全5班</t>
  </si>
  <si>
    <t>蔡创其</t>
  </si>
  <si>
    <t>兴湘八栋316</t>
  </si>
  <si>
    <t>马克思主义学院</t>
  </si>
  <si>
    <t>马克思主义理论1班</t>
  </si>
  <si>
    <t>杨龙碧</t>
  </si>
  <si>
    <t>南苑1栋201</t>
  </si>
  <si>
    <t>思想政治教育1班</t>
  </si>
  <si>
    <t>吴广辉</t>
  </si>
  <si>
    <t>北苑1栋201</t>
  </si>
  <si>
    <t>中国共产党历史1班</t>
  </si>
  <si>
    <t>朱珊宁</t>
  </si>
  <si>
    <t>北苑7栋406</t>
  </si>
  <si>
    <t>商学院</t>
  </si>
  <si>
    <t>电商一班</t>
  </si>
  <si>
    <t>罗禹婷</t>
  </si>
  <si>
    <t>西湖3栋317</t>
  </si>
  <si>
    <t>工商管理4班</t>
  </si>
  <si>
    <t>李丹丹</t>
  </si>
  <si>
    <t>西湖3栋421</t>
  </si>
  <si>
    <t>金融学3班</t>
  </si>
  <si>
    <t>余文乐</t>
  </si>
  <si>
    <t>北苑4栋207</t>
  </si>
  <si>
    <t>旅游管理2班</t>
  </si>
  <si>
    <t>曹思思</t>
  </si>
  <si>
    <t>北苑5栋</t>
  </si>
  <si>
    <t>蔡平</t>
  </si>
  <si>
    <t>西湖三期13栋203</t>
  </si>
  <si>
    <t>经济学1班</t>
  </si>
  <si>
    <t>李承熹</t>
  </si>
  <si>
    <t>西湖13栋420</t>
  </si>
  <si>
    <t>经济学3班</t>
  </si>
  <si>
    <t>杨颖熙</t>
  </si>
  <si>
    <t>西湖13栋506</t>
  </si>
  <si>
    <t>经济学5班</t>
  </si>
  <si>
    <t>周雨静</t>
  </si>
  <si>
    <t>数学与计算科学学院</t>
  </si>
  <si>
    <t>信息与计算科学1班</t>
  </si>
  <si>
    <t>熊美玲</t>
  </si>
  <si>
    <t>南苑9栋102</t>
  </si>
  <si>
    <t>数学类韶峰班</t>
  </si>
  <si>
    <t>谭茹</t>
  </si>
  <si>
    <t>西湖2栋424</t>
  </si>
  <si>
    <t>数学类5班</t>
  </si>
  <si>
    <t>杨子杰</t>
  </si>
  <si>
    <t>兴湘7栋615</t>
  </si>
  <si>
    <t>土木工程学院</t>
  </si>
  <si>
    <t>测绘工程2班</t>
  </si>
  <si>
    <t>李庆卿</t>
  </si>
  <si>
    <t>琴湖6栋428</t>
  </si>
  <si>
    <t>测绘工程1班</t>
  </si>
  <si>
    <t>袁义天</t>
  </si>
  <si>
    <t>西湖十二栋407</t>
  </si>
  <si>
    <t>周道辉</t>
  </si>
  <si>
    <t>土木工程3班</t>
  </si>
  <si>
    <t>赵婉茹</t>
  </si>
  <si>
    <t>西湖十四栋605</t>
  </si>
  <si>
    <t>土木工程4班</t>
  </si>
  <si>
    <t>石李竺</t>
  </si>
  <si>
    <t>西湖十二栋508</t>
  </si>
  <si>
    <t>外国语学院</t>
  </si>
  <si>
    <t>德语1班</t>
  </si>
  <si>
    <t>张雨晴</t>
  </si>
  <si>
    <t>北苑6栋507</t>
  </si>
  <si>
    <t>英语4班</t>
  </si>
  <si>
    <t>华梦苑</t>
  </si>
  <si>
    <t>北苑7栋301</t>
  </si>
  <si>
    <t>刘嘉莹</t>
  </si>
  <si>
    <t>金翰林二栋</t>
  </si>
  <si>
    <t>文学与新闻学院</t>
  </si>
  <si>
    <t>汉语言文学3班</t>
  </si>
  <si>
    <t>崔浩然</t>
  </si>
  <si>
    <t>新闻学1班</t>
  </si>
  <si>
    <t>杨佳瑶</t>
  </si>
  <si>
    <t>西湖2栋522</t>
  </si>
  <si>
    <t>宋娜</t>
  </si>
  <si>
    <t>广告学2班</t>
  </si>
  <si>
    <t>彭兴慧</t>
  </si>
  <si>
    <t>北苑8栋104</t>
  </si>
  <si>
    <t>汉语言文学1班</t>
  </si>
  <si>
    <t>安麒达</t>
  </si>
  <si>
    <t>北苑8栋109</t>
  </si>
  <si>
    <t>游梓琪</t>
  </si>
  <si>
    <t>北苑8栋209</t>
  </si>
  <si>
    <t>曾湛强</t>
  </si>
  <si>
    <t>欧惠汝</t>
  </si>
  <si>
    <t>北苑8栋401</t>
  </si>
  <si>
    <t>黄玥</t>
  </si>
  <si>
    <t>金翰林二栋408</t>
  </si>
  <si>
    <t>刘娟</t>
  </si>
  <si>
    <t>王慧</t>
  </si>
  <si>
    <t>新闻学2班</t>
  </si>
  <si>
    <t>夏誉恬</t>
  </si>
  <si>
    <t>物理与光电工程学院</t>
  </si>
  <si>
    <t>测控技术与仪器1班</t>
  </si>
  <si>
    <t>易子睿</t>
  </si>
  <si>
    <t>金翰林7栋</t>
  </si>
  <si>
    <t>微电子科学与工程4班</t>
  </si>
  <si>
    <t>物理学2班</t>
  </si>
  <si>
    <t>秦宇轩</t>
  </si>
  <si>
    <t>金翰林7栋343</t>
  </si>
  <si>
    <t>物理学韶峰班</t>
  </si>
  <si>
    <t>石炜</t>
  </si>
  <si>
    <t>兴湘学院</t>
  </si>
  <si>
    <t>张思睿</t>
  </si>
  <si>
    <t>兴湘8栋404</t>
  </si>
  <si>
    <t>刘卓鑫</t>
  </si>
  <si>
    <t>兴湘8栋407</t>
  </si>
  <si>
    <t>彭璟琅</t>
  </si>
  <si>
    <t>兴湘6栋</t>
  </si>
  <si>
    <t>会计学1班</t>
  </si>
  <si>
    <t>伍云馨</t>
  </si>
  <si>
    <t>兴湘6栋413</t>
  </si>
  <si>
    <t>曹勇</t>
  </si>
  <si>
    <t>兴湘9栋102</t>
  </si>
  <si>
    <t>制药工程（专升本）</t>
  </si>
  <si>
    <t>陶诗琪</t>
  </si>
  <si>
    <t>兴湘3栋401</t>
  </si>
  <si>
    <t>自动化与电子信息学院</t>
  </si>
  <si>
    <t>通信工程3班</t>
  </si>
  <si>
    <t>吴小亮</t>
  </si>
  <si>
    <t>琴湖9栋318</t>
  </si>
  <si>
    <t>电子信息工程4班</t>
  </si>
  <si>
    <t>王一博</t>
  </si>
  <si>
    <t>西湖10栋</t>
  </si>
  <si>
    <t>通信工程2班</t>
  </si>
  <si>
    <t>黄孝睿</t>
  </si>
  <si>
    <t>西湖10栋 3012</t>
  </si>
  <si>
    <t>通信工程4班</t>
  </si>
  <si>
    <t>肖亚桥</t>
  </si>
  <si>
    <t>西湖10栋 3024</t>
  </si>
  <si>
    <t>自动化3班</t>
  </si>
  <si>
    <t>周志勇</t>
  </si>
  <si>
    <t>西湖10栋220</t>
  </si>
  <si>
    <t>人工智能2班</t>
  </si>
  <si>
    <t>张慧玲</t>
  </si>
  <si>
    <t>西湖学生公寓十五栋6006</t>
  </si>
  <si>
    <t>张泽宇</t>
  </si>
  <si>
    <t>人工智能3班</t>
  </si>
  <si>
    <t>赵文韬</t>
  </si>
  <si>
    <t>金翰林十栋</t>
  </si>
  <si>
    <t>人工智能4班</t>
  </si>
  <si>
    <t>赵晋南</t>
  </si>
  <si>
    <t>金翰林10栋702</t>
  </si>
  <si>
    <t>机械设计制造及其自动化3班</t>
  </si>
  <si>
    <t>法学一班</t>
  </si>
  <si>
    <t>软工1班</t>
  </si>
  <si>
    <t>计数项:参与人数是否过半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</si>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</sst>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5.8597106481" refreshedBy="hp" recordCount="144">
  <cacheSource type="worksheet">
    <worksheetSource ref="A1:K145" sheet="Sheet5"/>
  </cacheSource>
  <cacheFields count="11">
    <cacheField name="院系" numFmtId="0">
      <sharedItems count="19">
        <s v="碧泉书院·哲学与历史文化学院"/>
        <s v="材料科学与工程学院"/>
        <s v="创业学院"/>
        <s v="法学学部"/>
        <s v="公共管理学院"/>
        <s v="化工学院"/>
        <s v="化学学院"/>
        <s v="环境与资源学院"/>
        <s v="机械工程与力学学院"/>
        <s v="计算机学院·网络空间安全学院"/>
        <s v="马克思主义学院"/>
        <s v="商学院"/>
        <s v="数学与计算科学学院"/>
        <s v="土木工程学院"/>
        <s v="外国语学院"/>
        <s v="文学与新闻学院"/>
        <s v="物理与光电工程学院"/>
        <s v="兴湘学院"/>
        <s v="自动化与电子信息学院"/>
      </sharedItems>
    </cacheField>
    <cacheField name="年级" numFmtId="0">
      <sharedItems count="4">
        <s v="24级"/>
        <s v="25级"/>
        <s v="23级"/>
        <s v="22级"/>
      </sharedItems>
    </cacheField>
    <cacheField name="班级" numFmtId="0">
      <sharedItems count="116">
        <s v="历史学1班"/>
        <s v="历史学2班"/>
        <s v="历史学3班"/>
        <s v="历史学4班"/>
        <s v="社会学2班"/>
        <s v="材料类（师昌绪班）"/>
        <s v="材料物理1班"/>
        <s v="材料物理2班"/>
        <s v="新能源材料与器件1班"/>
        <s v="新能源材料与器件2班"/>
        <s v="新能源材料与器件3班"/>
        <s v="工商管理（创业菁英班）"/>
        <s v="计算机科学与技术（创业菁英班）"/>
        <s v="人工智能（创业菁英班）"/>
        <s v="智能制造工程（创业菁英班）"/>
        <s v="法学4班"/>
        <s v="知识产权1班"/>
        <s v="知识产权2班"/>
        <s v="法学1班"/>
        <s v="法学2班"/>
        <s v="法学3班"/>
        <s v="法学5班"/>
        <s v="法学卓越班"/>
        <s v="信用风险管理与法律防控1班"/>
        <s v="信用风险管理与法律防控2班"/>
        <s v="档案学1班"/>
        <s v="行政管理2班"/>
        <s v="信息管理与信息系统1班"/>
        <s v="信息管理与信息系统3班"/>
        <s v="公共管理类韶峰班"/>
        <s v="图书馆学1班"/>
        <s v="图书馆学2班"/>
        <s v="应急管理2班"/>
        <s v="食品科学与工程3班"/>
        <s v="食品科学与工程4班"/>
        <s v="制药工程2班"/>
        <s v="制药工程3班"/>
        <s v="制药工程4班"/>
        <s v="化学工程与工艺1班"/>
        <s v="化学工程与工艺5班"/>
        <s v="食品科学与工程2班"/>
        <s v="制药工程1班"/>
        <s v="化学2班"/>
        <s v="化学3班"/>
        <s v="化学类韶峰班"/>
        <s v="高分子材料与工程1班"/>
        <s v="高分子材料与工程3班"/>
        <s v="高分子材料与工程4班"/>
        <s v="化学1班"/>
        <s v="化学4班"/>
        <s v="化学韶峰班"/>
        <s v="能源化学1班"/>
        <s v="能源化学3班"/>
        <s v="环境科学1班"/>
        <s v="安全工程2班"/>
        <s v="环境工程1班"/>
        <s v="工程力学3班"/>
        <s v="能源与动力工程2班"/>
        <s v="工业设计1班"/>
        <s v="工业设计2班"/>
        <s v="机械设计制造及其自动化4班"/>
        <s v="机械设计制造及其自动化6班"/>
        <s v="机械设计制造及其自动化1班"/>
        <s v="机械设计制造及其自动化2班"/>
        <s v="计算机科学与技术2班"/>
        <s v="计算机科学与技术3班"/>
        <s v="计算机科学与技术1班"/>
        <s v="软件工程1班"/>
        <s v="软件工程2班"/>
        <s v="软件工程4班"/>
        <s v="网络空间安全1班"/>
        <s v="网络空间安全3班"/>
        <s v="计算机科学与技术4班"/>
        <s v="软件工程3班"/>
        <s v="软件工程5班"/>
        <s v="网络空间安全2班"/>
        <s v="网络空间安全4班"/>
        <s v="网络空间安全5班"/>
        <s v="马克思主义理论1班"/>
        <s v="思想政治教育1班"/>
        <s v="中国共产党历史1班"/>
        <s v="电商一班"/>
        <s v="工商管理4班"/>
        <s v="金融学3班"/>
        <s v="旅游管理2班"/>
        <s v="经济学1班"/>
        <s v="经济学3班"/>
        <s v="经济学5班"/>
        <s v="信息与计算科学1班"/>
        <s v="数学类韶峰班"/>
        <s v="数学类5班"/>
        <s v="测绘工程2班"/>
        <s v="测绘工程1班"/>
        <s v="土木工程3班"/>
        <s v="土木工程4班"/>
        <s v="德语1班"/>
        <s v="英语4班"/>
        <s v="汉语言文学3班"/>
        <s v="新闻学1班"/>
        <s v="广告学2班"/>
        <s v="汉语言文学1班"/>
        <s v="新闻学2班"/>
        <s v="测控技术与仪器1班"/>
        <s v="微电子科学与工程4班"/>
        <s v="物理学2班"/>
        <s v="物理学韶峰班"/>
        <s v="会计学1班"/>
        <s v="制药工程（专升本）"/>
        <s v="通信工程3班"/>
        <s v="电子信息工程4班"/>
        <s v="通信工程2班"/>
        <s v="通信工程4班"/>
        <s v="自动化3班"/>
        <s v="人工智能2班"/>
        <s v="人工智能3班"/>
        <s v="人工智能4班"/>
      </sharedItems>
    </cacheField>
    <cacheField name="爱心委员" numFmtId="0">
      <sharedItems count="143">
        <s v="刘正杰"/>
        <s v="姜敏"/>
        <s v="杜靖博"/>
        <s v="岳阳芮"/>
        <s v="李欣洁"/>
        <s v="孙嘉扬"/>
        <s v="周鹏杰"/>
        <s v="刘丰铭"/>
        <s v="安育博"/>
        <s v="李长磊"/>
        <s v="杨毅轩"/>
        <s v="何贝"/>
        <s v="王静怡"/>
        <s v="李超慧"/>
        <s v="李嘉峰"/>
        <s v="胡昊敏"/>
        <s v="潘佳垚"/>
        <s v="卢彦妃"/>
        <s v="王鑫"/>
        <s v="王馨怡"/>
        <s v="袁妃青"/>
        <s v="姚雨涵"/>
        <s v="曾馨月"/>
        <s v="陈正坤"/>
        <s v="高欣悦"/>
        <s v="谭家媛"/>
        <s v="孔婧雯"/>
        <s v="侯慧杰"/>
        <s v="袁瑜蔓"/>
        <s v="张如意"/>
        <s v="阳涓"/>
        <s v="李凯馨"/>
        <s v="许军武"/>
        <s v="江柳"/>
        <s v="王雨菲"/>
        <s v="沓歆贝"/>
        <s v="付梦天"/>
        <s v="赵子琦"/>
        <s v="薛昊阳"/>
        <s v="陈子懿"/>
        <s v="廖欣悦"/>
        <s v="侯雅琪"/>
        <s v="刘海灿"/>
        <s v="赵先海"/>
        <s v="罗慧"/>
        <s v="巫栩浩"/>
        <s v="徐圳钰"/>
        <s v="黄湘宜"/>
        <s v="刘晨"/>
        <s v="刘智婷"/>
        <s v="唐瑞桓"/>
        <s v="龙颜"/>
        <s v="樊铭宇"/>
        <s v="王博洋"/>
        <s v="张雅婷"/>
        <s v="吴子欣"/>
        <s v="熊弘毅"/>
        <s v="常泽恩"/>
        <s v="钱思宏"/>
        <s v="张奥硕"/>
        <s v="谢素娟"/>
        <s v="张菲"/>
        <s v="孙乐洋"/>
        <s v="童雅"/>
        <s v="王梓童"/>
        <s v="林子瑄"/>
        <s v="曹颖"/>
        <s v="胡大帅"/>
        <s v="高玉如"/>
        <s v="胡龙俊"/>
        <s v="廖贝蕾"/>
        <s v="谭林勃"/>
        <s v="李源琦"/>
        <s v="卿枣"/>
        <s v="张琪凯"/>
        <s v="周楚宇"/>
        <s v="李晓烁"/>
        <s v="蒋南柱"/>
        <s v="肖可滢"/>
        <s v="贺健"/>
        <s v="赵勇兴"/>
        <s v="何佳怡"/>
        <s v="朱松"/>
        <s v="琅琳鑫"/>
        <s v="马悦"/>
        <s v="王正浩"/>
        <s v="张喜彬"/>
        <s v="彭钟宇"/>
        <s v="周鑫哲"/>
        <s v="黄雅琪"/>
        <s v="李喻"/>
        <s v="李子航"/>
        <s v="杨佳涛"/>
        <s v="闫冬阳"/>
        <s v="蔡创其"/>
        <s v="杨龙碧"/>
        <s v="吴广辉"/>
        <s v="朱珊宁"/>
        <s v="罗禹婷"/>
        <s v="李丹丹"/>
        <s v="余文乐"/>
        <s v="曹思思"/>
        <s v="蔡平"/>
        <s v="李承熹"/>
        <s v="杨颖熙"/>
        <s v="周雨静"/>
        <s v="熊美玲"/>
        <s v="谭茹"/>
        <s v="杨子杰"/>
        <s v="李庆卿"/>
        <s v="袁义天"/>
        <s v="赵婉茹"/>
        <s v="石李竺"/>
        <s v="张雨晴"/>
        <s v="华梦苑"/>
        <s v="刘嘉莹"/>
        <s v="崔浩然"/>
        <s v="杨佳瑶"/>
        <s v="彭兴慧"/>
        <s v="安麒达"/>
        <s v="游梓琪"/>
        <s v="欧惠汝"/>
        <s v="黄玥"/>
        <s v="王慧"/>
        <s v="夏誉恬"/>
        <s v="易子睿"/>
        <s v="刘文娜"/>
        <s v="秦宇轩"/>
        <s v="石炜"/>
        <s v="张思睿"/>
        <s v="刘卓鑫"/>
        <s v="彭璟琅"/>
        <s v="伍云馨"/>
        <s v="曹勇"/>
        <s v="陶诗琪"/>
        <s v="吴小亮"/>
        <s v="王一博"/>
        <s v="黄孝睿"/>
        <s v="肖亚桥"/>
        <s v="周志勇"/>
        <s v="张慧玲"/>
        <s v="赵文韬"/>
        <s v="赵晋南"/>
      </sharedItems>
    </cacheField>
    <cacheField name="QQ" numFmtId="0">
      <sharedItems containsString="0" containsBlank="1" containsNumber="1" containsInteger="1" minValue="0" maxValue="3990240445" count="144">
        <n v="3257549975"/>
        <n v="3990240445"/>
        <n v="3416200752"/>
        <n v="293584659"/>
        <n v="2251732919"/>
        <n v="2435317830"/>
        <n v="2421595773"/>
        <n v="2649668416"/>
        <n v="2757468163"/>
        <n v="3193552022"/>
        <n v="227683692"/>
        <n v="1169437663"/>
        <n v="2159135638"/>
        <n v="3331083794"/>
        <n v="2763953712"/>
        <n v="1914424122"/>
        <n v="3553571838"/>
        <n v="1503789340"/>
        <n v="1728448928"/>
        <n v="3255532126"/>
        <n v="3812344298"/>
        <n v="417473370"/>
        <m/>
        <n v="3802239021"/>
        <n v="2827257524"/>
        <n v="3304528782"/>
        <n v="2690674839"/>
        <n v="1162622153"/>
        <n v="2332601085"/>
        <n v="3090014995"/>
        <n v="2535043573"/>
        <n v="2978227252"/>
        <n v="2515384386"/>
        <n v="3531491938"/>
        <n v="2251243248"/>
        <n v="3796359814"/>
        <n v="480945264"/>
        <n v="2428765394"/>
        <n v="1094164647"/>
        <n v="2429023907"/>
        <n v="577320391"/>
        <n v="2968169621"/>
        <n v="3026173184"/>
        <n v="2793708909"/>
        <n v="3266424235"/>
        <n v="2947678084"/>
        <n v="3911692608"/>
        <n v="2247934360"/>
        <n v="909927320"/>
        <n v="2236659706"/>
        <n v="1779613560"/>
        <n v="1836533605"/>
        <n v="2549791301"/>
        <n v="1781997931"/>
        <n v="177191828"/>
        <n v="1135047439"/>
        <n v="3460107356"/>
        <n v="3321604766"/>
        <n v="3566227305"/>
        <n v="341078365"/>
        <n v="3922687918"/>
        <n v="3398288412"/>
        <n v="2927173415"/>
        <n v="2824515495"/>
        <n v="2948460056"/>
        <n v="2584981348"/>
        <n v="3272554585"/>
        <n v="3426059244"/>
        <n v="2452406105"/>
        <n v="2633393552"/>
        <n v="1748682871"/>
        <n v="2737862880"/>
        <n v="213038441"/>
        <n v="1096323849"/>
        <n v="2758656997"/>
        <n v="2744650425"/>
        <n v="799320941"/>
        <n v="2672636978"/>
        <n v="2127180295"/>
        <n v="3152526408"/>
        <n v="3030005482"/>
        <n v="1580622756"/>
        <n v="1593386642"/>
        <n v="1987724589"/>
        <n v="2749900411"/>
        <n v="3804936901"/>
        <n v="2783154807"/>
        <n v="957508604"/>
        <n v="3434626179"/>
        <n v="1622192088"/>
        <n v="3135939406"/>
        <n v="2030541968"/>
        <n v="3279619782"/>
        <n v="1077463238"/>
        <n v="3586283939"/>
        <n v="3326223141"/>
        <n v="3446613439"/>
        <n v="2284458748"/>
        <n v="2970916216"/>
        <n v="2492275312"/>
        <n v="1559628923"/>
        <n v="815905873"/>
        <n v="3147803439"/>
        <n v="1640603312"/>
        <n v="3637451931"/>
        <n v="226206248"/>
        <n v="2657916297"/>
        <n v="2029271774"/>
        <n v="2786118769"/>
        <n v="2545043778"/>
        <n v="1590366374"/>
        <n v="3421859632"/>
        <n v="3301660065"/>
        <n v="2760434750"/>
        <n v="1536916946"/>
        <n v="264500297"/>
        <n v="2321671811"/>
        <n v="1559502069"/>
        <n v="2147738632"/>
        <n v="2982162257"/>
        <n v="1022803230"/>
        <n v="3063382292"/>
        <n v="2433391603"/>
        <n v="2668030630"/>
        <n v="3077754824"/>
        <n v="2256170989"/>
        <n v="3443552143"/>
        <n v="3804146726"/>
        <n v="1792518194"/>
        <n v="3521123414"/>
        <n v="3230895335"/>
        <n v="1321523759"/>
        <n v="2022601747"/>
        <n v="2653702646"/>
        <n v="3394162164"/>
        <n v="1106540196"/>
        <n v="1938726166"/>
        <n v="2497621284"/>
        <n v="1825235998"/>
        <n v="3468243849"/>
        <n v="1330833249"/>
        <n v="1447954153"/>
        <n v="3228237025"/>
        <n v="3203593662"/>
      </sharedItems>
    </cacheField>
    <cacheField name="手机号码" numFmtId="0">
      <sharedItems containsBlank="1" containsNumber="1" containsInteger="1" containsMixedTypes="1" count="143">
        <n v="15083965761"/>
        <n v="19082731940"/>
        <n v="18145977129"/>
        <n v="17562451358"/>
        <n v="19115211023"/>
        <n v="18866862903"/>
        <n v="18274653782"/>
        <n v="13618411730"/>
        <n v="13228069016"/>
        <n v="18269889855"/>
        <n v="13991736364"/>
        <n v="15575233792"/>
        <n v="16692237232"/>
        <n v="18867455807"/>
        <n v="18873988172"/>
        <n v="19918071620"/>
        <n v="13843369538"/>
        <n v="13566701895"/>
        <n v="18620060525"/>
        <n v="18102420206"/>
        <n v="19217420637"/>
        <n v="15762671192"/>
        <n v="15367604693"/>
        <n v="17891073729"/>
        <n v="13375487537"/>
        <n v="18090425921"/>
        <n v="19579688312"/>
        <n v="18555680950"/>
        <n v="15187526471"/>
        <n v="18297750861"/>
        <n v="15197546889"/>
        <n v="18823283140"/>
        <n v="17267106402"/>
        <n v="13907646823"/>
        <n v="18833054010"/>
        <n v="15502218910"/>
        <n v="18711231668"/>
        <n v="15097832683"/>
        <n v="18573223081"/>
        <n v="17897326722"/>
        <n v="18773566950"/>
        <n v="15954615055"/>
        <n v="18570072301"/>
        <n v="17673398717"/>
        <n v="18373621625"/>
        <n v="15526289309"/>
        <s v="187 2059 6735"/>
        <n v="17377959115"/>
        <n v="13319562869"/>
        <n v="19318393341"/>
        <n v="18579508947"/>
        <n v="15523238030"/>
        <n v="18678596204"/>
        <n v="15273283620"/>
        <n v="13367487585"/>
        <n v="18174610648"/>
        <n v="19896370338"/>
        <n v="13012162335"/>
        <n v="15723037458"/>
        <n v="13230029310"/>
        <n v="17680262023"/>
        <n v="18774087712"/>
        <n v="13667433639"/>
        <n v="19397825471"/>
        <n v="13786454420"/>
        <n v="18874488322"/>
        <n v="19932059854"/>
        <n v="16670801837"/>
        <n v="19187713937"/>
        <n v="18673257367"/>
        <n v="19083219015"/>
        <n v="19314415999"/>
        <n v="19083200985"/>
        <n v="17891077235"/>
        <n v="13612095414"/>
        <n v="18674840795"/>
        <n v="17331124329"/>
        <n v="13243667806"/>
        <n v="18692619102"/>
        <n v="13468527044"/>
        <n v="16630823058"/>
        <n v="16681590426"/>
        <n v="16682582595"/>
        <n v="19021667380"/>
        <n v="17267341055"/>
        <n v="18867386796"/>
        <m/>
        <n v="18029424867"/>
        <n v="19379618492"/>
        <n v="19173948935"/>
        <n v="15973801878"/>
        <n v="18273849695"/>
        <n v="13138190430"/>
        <n v="19974780561"/>
        <n v="18829141411"/>
        <n v="15200932291"/>
        <n v="18386712602"/>
        <n v="15197482735"/>
        <n v="19957406136"/>
        <n v="18183673080"/>
        <n v="18093474096"/>
        <n v="15673064356"/>
        <n v="17375155255"/>
        <n v="19175246027"/>
        <n v="18873205759"/>
        <n v="15115934646"/>
        <n v="17873657151"/>
        <n v="19848132695"/>
        <n v="17872536116"/>
        <n v="19339150960"/>
        <n v="18563222094"/>
        <n v="18873218900"/>
        <n v="18154065602"/>
        <n v="17680329792"/>
        <n v="13290617689"/>
        <n v="15673356649"/>
        <n v="13298551055"/>
        <n v="18992693626"/>
        <n v="19918553733"/>
        <n v="18842991191"/>
        <n v="15874852751"/>
        <n v="18598919268"/>
        <n v="19324652635"/>
        <n v="17886617295"/>
        <n v="19164820686"/>
        <n v="13874593102"/>
        <n v="18948403507"/>
        <n v="19084908906"/>
        <n v="19986211375"/>
        <n v="19376683137"/>
        <n v="13135322726"/>
        <n v="13187025001"/>
        <n v="19196018568"/>
        <n v="17773517806"/>
        <n v="18973748683"/>
        <n v="15575252429"/>
        <n v="19831039638"/>
        <n v="13563213769"/>
        <n v="15570946029"/>
        <n v="18397785972"/>
        <n v="19904578858"/>
        <n v="15973108772"/>
        <n v="18570209869"/>
      </sharedItems>
    </cacheField>
    <cacheField name="寝室住址" numFmtId="0">
      <sharedItems containsBlank="1" count="127">
        <s v="北苑1栋110"/>
        <s v="北苑6栋308"/>
        <s v=" 西湖三期12栋107"/>
        <s v="西湖14栋"/>
        <s v="西湖14栋421"/>
        <s v="西湖14栋505"/>
        <s v="金翰林9栋410"/>
        <s v="金翰林9栋"/>
        <s v="金翰林9栋423"/>
        <s v="金翰林9栋511"/>
        <s v="金翰林9栋521"/>
        <s v="西湖15栋204"/>
        <s v="西湖十四栋"/>
        <s v="西湖十四栋623"/>
        <s v="西湖十二栋"/>
        <s v="北苑3栋509"/>
        <s v="北苑3栋305"/>
        <s v="北苑3栋311"/>
        <s v="金翰林五栋"/>
        <s v="金翰林五栋115"/>
        <s v="金翰林二栋626"/>
        <s v="金翰林二栋633"/>
        <s v="金翰林3栋301"/>
        <s v="金翰林五栋101"/>
        <s v="金翰林2栋"/>
        <s v="金翰林二栋718"/>
        <s v="金翰林二栋723"/>
        <s v="金翰林二栋731"/>
        <s v="金翰林11栋201"/>
        <s v="金翰林11栋217"/>
        <s v="南苑2栋"/>
        <s v="北苑2栋102"/>
        <s v="西湖15栋216"/>
        <s v="西湖15栋219室"/>
        <s v="西湖15栋302"/>
        <s v="西湖15栋307"/>
        <s v="金翰林3栋404"/>
        <s v="金翰林3栋413"/>
        <s v="金翰林3栋516"/>
        <s v="南苑4栋210"/>
        <s v="南苑4栋213"/>
        <s v="南苑14栋402"/>
        <s v="南苑14栋405"/>
        <s v="南苑4栋112"/>
        <s v="兴湘2栋104"/>
        <s v="金翰林5栋204"/>
        <s v="金翰林5栋219"/>
        <s v="金翰林5栋231"/>
        <s v="金翰林5栋"/>
        <s v="兴湘2栋505"/>
        <s v="琴湖17栋"/>
        <s v="西湖9栋1014"/>
        <s v="西湖9栋215"/>
        <s v="西湖学生公寓15栋409"/>
        <s v="西湖15栋"/>
        <s v="金翰林"/>
        <s v="西湖学生公寓15栋"/>
        <s v="西湖8栋519"/>
        <s v="金翰林9栋104"/>
        <s v="金翰林5栋321"/>
        <s v="琴湖8栋"/>
        <s v="西湖4栋520"/>
        <s v="西湖7栋1003"/>
        <s v="西湖8栋"/>
        <s v="西湖7栋313"/>
        <s v="西湖7栋327"/>
        <s v="西湖14栋119"/>
        <s v="琴湖8栋514"/>
        <s v="西湖2栋320"/>
        <s v="兴湘5栋521"/>
        <s v="南苑14栋106"/>
        <s v="南苑14栋117"/>
        <s v="南苑7栋210"/>
        <s v="兴湘5栋205"/>
        <s v="兴湘八栋100"/>
        <s v="西湖公寓14栋2019"/>
        <s v="兴湘8栋"/>
        <s v="兴湘八栋"/>
        <s v="兴湘八栋211"/>
        <s v="兴湘八栋214"/>
        <s v="兴湘八栋221"/>
        <s v="西湖十四栋306"/>
        <s v="兴湘8栋306"/>
        <s v="兴湘八栋316"/>
        <s v="南苑1栋201"/>
        <s v="北苑1栋201"/>
        <s v="北苑7栋406"/>
        <s v="西湖3栋317"/>
        <s v="西湖3栋421"/>
        <s v="北苑4栋207"/>
        <s v="北苑5栋"/>
        <s v="西湖三期13栋203"/>
        <s v="西湖13栋420"/>
        <s v="西湖13栋506"/>
        <m/>
        <s v="南苑9栋102"/>
        <s v="西湖2栋424"/>
        <s v="兴湘7栋615"/>
        <s v="琴湖6栋428"/>
        <s v="西湖十二栋407"/>
        <s v="西湖十四栋605"/>
        <s v="西湖十二栋508"/>
        <s v="北苑6栋507"/>
        <s v="北苑7栋301"/>
        <s v="金翰林二栋"/>
        <s v="西湖2栋522"/>
        <s v="北苑8栋104"/>
        <s v="北苑8栋109"/>
        <s v="北苑8栋209"/>
        <s v="北苑8栋401"/>
        <s v="金翰林二栋408"/>
        <s v="金翰林7栋"/>
        <s v="金翰林7栋343"/>
        <s v="兴湘8栋404"/>
        <s v="兴湘8栋407"/>
        <s v="兴湘6栋"/>
        <s v="兴湘6栋413"/>
        <s v="兴湘9栋102"/>
        <s v="兴湘3栋401"/>
        <s v="琴湖9栋318"/>
        <s v="西湖10栋"/>
        <s v="西湖10栋 3012"/>
        <s v="西湖10栋 3024"/>
        <s v="西湖10栋220"/>
        <s v="西湖学生公寓十五栋6006"/>
        <s v="金翰林十栋"/>
        <s v="金翰林10栋702"/>
      </sharedItems>
    </cacheField>
    <cacheField name="班级总人数" numFmtId="0">
      <sharedItems containsSemiMixedTypes="0" containsString="0" containsNumber="1" containsInteger="1" minValue="0" maxValue="53" count="27">
        <n v="43"/>
        <n v="32"/>
        <n v="29"/>
        <n v="30"/>
        <n v="39"/>
        <n v="40"/>
        <n v="41"/>
        <n v="24"/>
        <n v="23"/>
        <n v="25"/>
        <n v="49"/>
        <n v="51"/>
        <n v="37"/>
        <n v="38"/>
        <n v="35"/>
        <n v="42"/>
        <n v="31"/>
        <n v="36"/>
        <n v="34"/>
        <n v="45"/>
        <n v="46"/>
        <n v="52"/>
        <n v="28"/>
        <n v="22"/>
        <n v="33"/>
        <n v="27"/>
        <n v="53"/>
      </sharedItems>
    </cacheField>
    <cacheField name="参与人数" numFmtId="0">
      <sharedItems containsSemiMixedTypes="0" containsString="0" containsNumber="1" containsInteger="1" minValue="0" maxValue="51" count="42">
        <n v="21"/>
        <n v="12"/>
        <n v="32"/>
        <n v="29"/>
        <n v="14"/>
        <n v="10"/>
        <n v="15"/>
        <n v="16"/>
        <n v="5"/>
        <n v="24"/>
        <n v="23"/>
        <n v="13"/>
        <n v="26"/>
        <n v="49"/>
        <n v="38"/>
        <n v="35"/>
        <n v="28"/>
        <n v="31"/>
        <n v="11"/>
        <n v="20"/>
        <n v="36"/>
        <n v="8"/>
        <n v="1"/>
        <n v="25"/>
        <n v="27"/>
        <n v="33"/>
        <n v="34"/>
        <n v="2"/>
        <n v="19"/>
        <n v="22"/>
        <n v="9"/>
        <n v="18"/>
        <n v="3"/>
        <n v="30"/>
        <n v="6"/>
        <n v="37"/>
        <n v="39"/>
        <n v="40"/>
        <n v="46"/>
        <n v="4"/>
        <n v="7"/>
        <n v="51"/>
      </sharedItems>
    </cacheField>
    <cacheField name="参与人数是否过半" numFmtId="0">
      <sharedItems count="2">
        <s v="否"/>
        <s v="是"/>
      </sharedItems>
    </cacheField>
    <cacheField name="爱心款金额" numFmtId="0">
      <sharedItems containsSemiMixedTypes="0" containsString="0" containsNumber="1" containsInteger="1" minValue="0" maxValue="408" count="43">
        <n v="168"/>
        <n v="96"/>
        <n v="256"/>
        <n v="232"/>
        <n v="112"/>
        <n v="80"/>
        <n v="95"/>
        <n v="120"/>
        <n v="128"/>
        <n v="40"/>
        <n v="192"/>
        <n v="184"/>
        <n v="104"/>
        <n v="208"/>
        <n v="392"/>
        <n v="304"/>
        <n v="280"/>
        <n v="224"/>
        <n v="248"/>
        <n v="88"/>
        <n v="160"/>
        <n v="288"/>
        <n v="64"/>
        <n v="8"/>
        <n v="200"/>
        <n v="216"/>
        <n v="264"/>
        <n v="272"/>
        <n v="16"/>
        <n v="152"/>
        <n v="176"/>
        <n v="72"/>
        <n v="144"/>
        <n v="24"/>
        <n v="240"/>
        <n v="48"/>
        <n v="296"/>
        <n v="312"/>
        <n v="320"/>
        <n v="368"/>
        <n v="32"/>
        <n v="56"/>
        <n v="40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0"/>
    <x v="1"/>
  </r>
  <r>
    <x v="0"/>
    <x v="1"/>
    <x v="0"/>
    <x v="2"/>
    <x v="2"/>
    <x v="2"/>
    <x v="2"/>
    <x v="1"/>
    <x v="2"/>
    <x v="1"/>
    <x v="2"/>
  </r>
  <r>
    <x v="0"/>
    <x v="1"/>
    <x v="2"/>
    <x v="3"/>
    <x v="3"/>
    <x v="3"/>
    <x v="3"/>
    <x v="2"/>
    <x v="3"/>
    <x v="1"/>
    <x v="3"/>
  </r>
  <r>
    <x v="0"/>
    <x v="1"/>
    <x v="3"/>
    <x v="4"/>
    <x v="4"/>
    <x v="4"/>
    <x v="4"/>
    <x v="3"/>
    <x v="4"/>
    <x v="0"/>
    <x v="4"/>
  </r>
  <r>
    <x v="0"/>
    <x v="1"/>
    <x v="4"/>
    <x v="5"/>
    <x v="5"/>
    <x v="5"/>
    <x v="5"/>
    <x v="4"/>
    <x v="5"/>
    <x v="0"/>
    <x v="5"/>
  </r>
  <r>
    <x v="1"/>
    <x v="1"/>
    <x v="5"/>
    <x v="6"/>
    <x v="6"/>
    <x v="6"/>
    <x v="6"/>
    <x v="3"/>
    <x v="5"/>
    <x v="0"/>
    <x v="6"/>
  </r>
  <r>
    <x v="1"/>
    <x v="1"/>
    <x v="6"/>
    <x v="7"/>
    <x v="7"/>
    <x v="7"/>
    <x v="7"/>
    <x v="5"/>
    <x v="6"/>
    <x v="0"/>
    <x v="7"/>
  </r>
  <r>
    <x v="1"/>
    <x v="1"/>
    <x v="7"/>
    <x v="8"/>
    <x v="8"/>
    <x v="8"/>
    <x v="8"/>
    <x v="5"/>
    <x v="7"/>
    <x v="0"/>
    <x v="8"/>
  </r>
  <r>
    <x v="1"/>
    <x v="1"/>
    <x v="8"/>
    <x v="9"/>
    <x v="9"/>
    <x v="9"/>
    <x v="9"/>
    <x v="5"/>
    <x v="8"/>
    <x v="0"/>
    <x v="9"/>
  </r>
  <r>
    <x v="1"/>
    <x v="1"/>
    <x v="9"/>
    <x v="10"/>
    <x v="10"/>
    <x v="10"/>
    <x v="10"/>
    <x v="6"/>
    <x v="8"/>
    <x v="0"/>
    <x v="9"/>
  </r>
  <r>
    <x v="1"/>
    <x v="1"/>
    <x v="10"/>
    <x v="11"/>
    <x v="11"/>
    <x v="11"/>
    <x v="11"/>
    <x v="5"/>
    <x v="8"/>
    <x v="0"/>
    <x v="9"/>
  </r>
  <r>
    <x v="2"/>
    <x v="1"/>
    <x v="11"/>
    <x v="12"/>
    <x v="12"/>
    <x v="12"/>
    <x v="12"/>
    <x v="7"/>
    <x v="9"/>
    <x v="1"/>
    <x v="10"/>
  </r>
  <r>
    <x v="2"/>
    <x v="1"/>
    <x v="12"/>
    <x v="13"/>
    <x v="13"/>
    <x v="13"/>
    <x v="13"/>
    <x v="8"/>
    <x v="10"/>
    <x v="1"/>
    <x v="11"/>
  </r>
  <r>
    <x v="2"/>
    <x v="1"/>
    <x v="13"/>
    <x v="14"/>
    <x v="14"/>
    <x v="14"/>
    <x v="14"/>
    <x v="8"/>
    <x v="11"/>
    <x v="1"/>
    <x v="12"/>
  </r>
  <r>
    <x v="2"/>
    <x v="1"/>
    <x v="14"/>
    <x v="15"/>
    <x v="15"/>
    <x v="15"/>
    <x v="12"/>
    <x v="9"/>
    <x v="6"/>
    <x v="1"/>
    <x v="7"/>
  </r>
  <r>
    <x v="3"/>
    <x v="0"/>
    <x v="15"/>
    <x v="16"/>
    <x v="16"/>
    <x v="16"/>
    <x v="15"/>
    <x v="4"/>
    <x v="12"/>
    <x v="1"/>
    <x v="13"/>
  </r>
  <r>
    <x v="3"/>
    <x v="0"/>
    <x v="16"/>
    <x v="17"/>
    <x v="17"/>
    <x v="17"/>
    <x v="16"/>
    <x v="10"/>
    <x v="13"/>
    <x v="1"/>
    <x v="14"/>
  </r>
  <r>
    <x v="3"/>
    <x v="0"/>
    <x v="17"/>
    <x v="18"/>
    <x v="18"/>
    <x v="18"/>
    <x v="17"/>
    <x v="11"/>
    <x v="14"/>
    <x v="1"/>
    <x v="15"/>
  </r>
  <r>
    <x v="3"/>
    <x v="1"/>
    <x v="18"/>
    <x v="19"/>
    <x v="19"/>
    <x v="19"/>
    <x v="18"/>
    <x v="12"/>
    <x v="15"/>
    <x v="1"/>
    <x v="16"/>
  </r>
  <r>
    <x v="3"/>
    <x v="1"/>
    <x v="19"/>
    <x v="20"/>
    <x v="20"/>
    <x v="20"/>
    <x v="19"/>
    <x v="12"/>
    <x v="16"/>
    <x v="1"/>
    <x v="17"/>
  </r>
  <r>
    <x v="3"/>
    <x v="1"/>
    <x v="20"/>
    <x v="21"/>
    <x v="21"/>
    <x v="21"/>
    <x v="20"/>
    <x v="13"/>
    <x v="17"/>
    <x v="1"/>
    <x v="18"/>
  </r>
  <r>
    <x v="3"/>
    <x v="1"/>
    <x v="15"/>
    <x v="22"/>
    <x v="22"/>
    <x v="22"/>
    <x v="21"/>
    <x v="13"/>
    <x v="2"/>
    <x v="1"/>
    <x v="2"/>
  </r>
  <r>
    <x v="3"/>
    <x v="1"/>
    <x v="21"/>
    <x v="23"/>
    <x v="23"/>
    <x v="23"/>
    <x v="22"/>
    <x v="14"/>
    <x v="18"/>
    <x v="0"/>
    <x v="19"/>
  </r>
  <r>
    <x v="3"/>
    <x v="1"/>
    <x v="22"/>
    <x v="24"/>
    <x v="24"/>
    <x v="24"/>
    <x v="23"/>
    <x v="2"/>
    <x v="3"/>
    <x v="1"/>
    <x v="3"/>
  </r>
  <r>
    <x v="3"/>
    <x v="1"/>
    <x v="23"/>
    <x v="25"/>
    <x v="25"/>
    <x v="25"/>
    <x v="24"/>
    <x v="4"/>
    <x v="14"/>
    <x v="1"/>
    <x v="15"/>
  </r>
  <r>
    <x v="3"/>
    <x v="1"/>
    <x v="24"/>
    <x v="26"/>
    <x v="26"/>
    <x v="26"/>
    <x v="25"/>
    <x v="5"/>
    <x v="19"/>
    <x v="1"/>
    <x v="20"/>
  </r>
  <r>
    <x v="3"/>
    <x v="1"/>
    <x v="16"/>
    <x v="27"/>
    <x v="27"/>
    <x v="27"/>
    <x v="26"/>
    <x v="5"/>
    <x v="20"/>
    <x v="1"/>
    <x v="21"/>
  </r>
  <r>
    <x v="3"/>
    <x v="1"/>
    <x v="17"/>
    <x v="28"/>
    <x v="28"/>
    <x v="28"/>
    <x v="27"/>
    <x v="5"/>
    <x v="14"/>
    <x v="1"/>
    <x v="15"/>
  </r>
  <r>
    <x v="4"/>
    <x v="2"/>
    <x v="25"/>
    <x v="29"/>
    <x v="29"/>
    <x v="29"/>
    <x v="28"/>
    <x v="12"/>
    <x v="21"/>
    <x v="0"/>
    <x v="22"/>
  </r>
  <r>
    <x v="4"/>
    <x v="2"/>
    <x v="26"/>
    <x v="30"/>
    <x v="30"/>
    <x v="30"/>
    <x v="29"/>
    <x v="15"/>
    <x v="22"/>
    <x v="0"/>
    <x v="23"/>
  </r>
  <r>
    <x v="4"/>
    <x v="0"/>
    <x v="27"/>
    <x v="31"/>
    <x v="31"/>
    <x v="31"/>
    <x v="30"/>
    <x v="4"/>
    <x v="23"/>
    <x v="1"/>
    <x v="24"/>
  </r>
  <r>
    <x v="4"/>
    <x v="0"/>
    <x v="28"/>
    <x v="32"/>
    <x v="32"/>
    <x v="32"/>
    <x v="31"/>
    <x v="1"/>
    <x v="7"/>
    <x v="1"/>
    <x v="8"/>
  </r>
  <r>
    <x v="4"/>
    <x v="1"/>
    <x v="25"/>
    <x v="33"/>
    <x v="33"/>
    <x v="33"/>
    <x v="32"/>
    <x v="5"/>
    <x v="16"/>
    <x v="1"/>
    <x v="17"/>
  </r>
  <r>
    <x v="4"/>
    <x v="1"/>
    <x v="29"/>
    <x v="34"/>
    <x v="34"/>
    <x v="34"/>
    <x v="33"/>
    <x v="3"/>
    <x v="24"/>
    <x v="1"/>
    <x v="25"/>
  </r>
  <r>
    <x v="4"/>
    <x v="1"/>
    <x v="30"/>
    <x v="35"/>
    <x v="35"/>
    <x v="35"/>
    <x v="34"/>
    <x v="4"/>
    <x v="25"/>
    <x v="1"/>
    <x v="26"/>
  </r>
  <r>
    <x v="4"/>
    <x v="1"/>
    <x v="31"/>
    <x v="36"/>
    <x v="36"/>
    <x v="36"/>
    <x v="35"/>
    <x v="4"/>
    <x v="10"/>
    <x v="1"/>
    <x v="11"/>
  </r>
  <r>
    <x v="4"/>
    <x v="1"/>
    <x v="27"/>
    <x v="37"/>
    <x v="37"/>
    <x v="37"/>
    <x v="36"/>
    <x v="5"/>
    <x v="25"/>
    <x v="1"/>
    <x v="26"/>
  </r>
  <r>
    <x v="4"/>
    <x v="1"/>
    <x v="28"/>
    <x v="38"/>
    <x v="38"/>
    <x v="38"/>
    <x v="37"/>
    <x v="5"/>
    <x v="26"/>
    <x v="1"/>
    <x v="27"/>
  </r>
  <r>
    <x v="4"/>
    <x v="1"/>
    <x v="32"/>
    <x v="39"/>
    <x v="39"/>
    <x v="39"/>
    <x v="38"/>
    <x v="13"/>
    <x v="5"/>
    <x v="0"/>
    <x v="5"/>
  </r>
  <r>
    <x v="5"/>
    <x v="0"/>
    <x v="33"/>
    <x v="40"/>
    <x v="40"/>
    <x v="40"/>
    <x v="39"/>
    <x v="3"/>
    <x v="6"/>
    <x v="1"/>
    <x v="7"/>
  </r>
  <r>
    <x v="5"/>
    <x v="0"/>
    <x v="34"/>
    <x v="41"/>
    <x v="41"/>
    <x v="41"/>
    <x v="40"/>
    <x v="16"/>
    <x v="27"/>
    <x v="0"/>
    <x v="28"/>
  </r>
  <r>
    <x v="5"/>
    <x v="0"/>
    <x v="35"/>
    <x v="42"/>
    <x v="42"/>
    <x v="42"/>
    <x v="41"/>
    <x v="14"/>
    <x v="28"/>
    <x v="1"/>
    <x v="29"/>
  </r>
  <r>
    <x v="5"/>
    <x v="0"/>
    <x v="36"/>
    <x v="43"/>
    <x v="43"/>
    <x v="43"/>
    <x v="42"/>
    <x v="14"/>
    <x v="23"/>
    <x v="1"/>
    <x v="24"/>
  </r>
  <r>
    <x v="5"/>
    <x v="0"/>
    <x v="37"/>
    <x v="44"/>
    <x v="44"/>
    <x v="44"/>
    <x v="43"/>
    <x v="14"/>
    <x v="11"/>
    <x v="0"/>
    <x v="12"/>
  </r>
  <r>
    <x v="5"/>
    <x v="1"/>
    <x v="38"/>
    <x v="45"/>
    <x v="45"/>
    <x v="45"/>
    <x v="44"/>
    <x v="5"/>
    <x v="10"/>
    <x v="1"/>
    <x v="11"/>
  </r>
  <r>
    <x v="5"/>
    <x v="1"/>
    <x v="39"/>
    <x v="46"/>
    <x v="46"/>
    <x v="46"/>
    <x v="45"/>
    <x v="5"/>
    <x v="29"/>
    <x v="1"/>
    <x v="30"/>
  </r>
  <r>
    <x v="5"/>
    <x v="1"/>
    <x v="40"/>
    <x v="47"/>
    <x v="47"/>
    <x v="47"/>
    <x v="46"/>
    <x v="5"/>
    <x v="12"/>
    <x v="1"/>
    <x v="13"/>
  </r>
  <r>
    <x v="5"/>
    <x v="1"/>
    <x v="41"/>
    <x v="48"/>
    <x v="48"/>
    <x v="48"/>
    <x v="47"/>
    <x v="5"/>
    <x v="17"/>
    <x v="1"/>
    <x v="18"/>
  </r>
  <r>
    <x v="5"/>
    <x v="1"/>
    <x v="35"/>
    <x v="49"/>
    <x v="49"/>
    <x v="49"/>
    <x v="48"/>
    <x v="5"/>
    <x v="5"/>
    <x v="0"/>
    <x v="5"/>
  </r>
  <r>
    <x v="5"/>
    <x v="1"/>
    <x v="37"/>
    <x v="50"/>
    <x v="50"/>
    <x v="50"/>
    <x v="49"/>
    <x v="5"/>
    <x v="30"/>
    <x v="0"/>
    <x v="31"/>
  </r>
  <r>
    <x v="6"/>
    <x v="3"/>
    <x v="42"/>
    <x v="51"/>
    <x v="51"/>
    <x v="51"/>
    <x v="50"/>
    <x v="17"/>
    <x v="31"/>
    <x v="1"/>
    <x v="32"/>
  </r>
  <r>
    <x v="6"/>
    <x v="0"/>
    <x v="43"/>
    <x v="52"/>
    <x v="52"/>
    <x v="52"/>
    <x v="51"/>
    <x v="18"/>
    <x v="32"/>
    <x v="0"/>
    <x v="33"/>
  </r>
  <r>
    <x v="6"/>
    <x v="0"/>
    <x v="44"/>
    <x v="53"/>
    <x v="53"/>
    <x v="53"/>
    <x v="52"/>
    <x v="3"/>
    <x v="31"/>
    <x v="1"/>
    <x v="32"/>
  </r>
  <r>
    <x v="6"/>
    <x v="1"/>
    <x v="45"/>
    <x v="54"/>
    <x v="54"/>
    <x v="54"/>
    <x v="53"/>
    <x v="17"/>
    <x v="20"/>
    <x v="1"/>
    <x v="21"/>
  </r>
  <r>
    <x v="6"/>
    <x v="1"/>
    <x v="46"/>
    <x v="55"/>
    <x v="55"/>
    <x v="55"/>
    <x v="54"/>
    <x v="17"/>
    <x v="33"/>
    <x v="1"/>
    <x v="34"/>
  </r>
  <r>
    <x v="6"/>
    <x v="1"/>
    <x v="47"/>
    <x v="56"/>
    <x v="56"/>
    <x v="56"/>
    <x v="7"/>
    <x v="17"/>
    <x v="20"/>
    <x v="1"/>
    <x v="21"/>
  </r>
  <r>
    <x v="6"/>
    <x v="1"/>
    <x v="48"/>
    <x v="57"/>
    <x v="57"/>
    <x v="57"/>
    <x v="7"/>
    <x v="17"/>
    <x v="3"/>
    <x v="1"/>
    <x v="3"/>
  </r>
  <r>
    <x v="6"/>
    <x v="1"/>
    <x v="42"/>
    <x v="58"/>
    <x v="58"/>
    <x v="58"/>
    <x v="54"/>
    <x v="12"/>
    <x v="20"/>
    <x v="1"/>
    <x v="21"/>
  </r>
  <r>
    <x v="6"/>
    <x v="1"/>
    <x v="43"/>
    <x v="59"/>
    <x v="59"/>
    <x v="59"/>
    <x v="55"/>
    <x v="17"/>
    <x v="27"/>
    <x v="0"/>
    <x v="28"/>
  </r>
  <r>
    <x v="6"/>
    <x v="1"/>
    <x v="49"/>
    <x v="60"/>
    <x v="60"/>
    <x v="60"/>
    <x v="54"/>
    <x v="12"/>
    <x v="15"/>
    <x v="1"/>
    <x v="16"/>
  </r>
  <r>
    <x v="6"/>
    <x v="1"/>
    <x v="50"/>
    <x v="61"/>
    <x v="61"/>
    <x v="61"/>
    <x v="56"/>
    <x v="3"/>
    <x v="18"/>
    <x v="0"/>
    <x v="19"/>
  </r>
  <r>
    <x v="6"/>
    <x v="1"/>
    <x v="51"/>
    <x v="62"/>
    <x v="62"/>
    <x v="62"/>
    <x v="54"/>
    <x v="12"/>
    <x v="31"/>
    <x v="0"/>
    <x v="32"/>
  </r>
  <r>
    <x v="6"/>
    <x v="1"/>
    <x v="52"/>
    <x v="63"/>
    <x v="63"/>
    <x v="63"/>
    <x v="54"/>
    <x v="17"/>
    <x v="10"/>
    <x v="1"/>
    <x v="11"/>
  </r>
  <r>
    <x v="7"/>
    <x v="0"/>
    <x v="53"/>
    <x v="64"/>
    <x v="64"/>
    <x v="64"/>
    <x v="57"/>
    <x v="16"/>
    <x v="17"/>
    <x v="1"/>
    <x v="18"/>
  </r>
  <r>
    <x v="7"/>
    <x v="1"/>
    <x v="54"/>
    <x v="65"/>
    <x v="65"/>
    <x v="65"/>
    <x v="58"/>
    <x v="4"/>
    <x v="21"/>
    <x v="0"/>
    <x v="22"/>
  </r>
  <r>
    <x v="7"/>
    <x v="1"/>
    <x v="55"/>
    <x v="66"/>
    <x v="66"/>
    <x v="66"/>
    <x v="59"/>
    <x v="4"/>
    <x v="34"/>
    <x v="0"/>
    <x v="35"/>
  </r>
  <r>
    <x v="8"/>
    <x v="2"/>
    <x v="56"/>
    <x v="67"/>
    <x v="67"/>
    <x v="67"/>
    <x v="60"/>
    <x v="3"/>
    <x v="33"/>
    <x v="1"/>
    <x v="34"/>
  </r>
  <r>
    <x v="8"/>
    <x v="2"/>
    <x v="57"/>
    <x v="68"/>
    <x v="68"/>
    <x v="68"/>
    <x v="61"/>
    <x v="13"/>
    <x v="12"/>
    <x v="1"/>
    <x v="13"/>
  </r>
  <r>
    <x v="8"/>
    <x v="0"/>
    <x v="58"/>
    <x v="69"/>
    <x v="69"/>
    <x v="69"/>
    <x v="62"/>
    <x v="17"/>
    <x v="6"/>
    <x v="0"/>
    <x v="7"/>
  </r>
  <r>
    <x v="8"/>
    <x v="0"/>
    <x v="59"/>
    <x v="70"/>
    <x v="70"/>
    <x v="70"/>
    <x v="63"/>
    <x v="2"/>
    <x v="32"/>
    <x v="0"/>
    <x v="33"/>
  </r>
  <r>
    <x v="8"/>
    <x v="0"/>
    <x v="60"/>
    <x v="71"/>
    <x v="71"/>
    <x v="71"/>
    <x v="64"/>
    <x v="19"/>
    <x v="34"/>
    <x v="0"/>
    <x v="35"/>
  </r>
  <r>
    <x v="8"/>
    <x v="0"/>
    <x v="61"/>
    <x v="72"/>
    <x v="72"/>
    <x v="72"/>
    <x v="65"/>
    <x v="20"/>
    <x v="10"/>
    <x v="1"/>
    <x v="11"/>
  </r>
  <r>
    <x v="8"/>
    <x v="1"/>
    <x v="62"/>
    <x v="73"/>
    <x v="73"/>
    <x v="73"/>
    <x v="66"/>
    <x v="5"/>
    <x v="2"/>
    <x v="1"/>
    <x v="2"/>
  </r>
  <r>
    <x v="8"/>
    <x v="1"/>
    <x v="63"/>
    <x v="74"/>
    <x v="74"/>
    <x v="74"/>
    <x v="58"/>
    <x v="6"/>
    <x v="2"/>
    <x v="1"/>
    <x v="2"/>
  </r>
  <r>
    <x v="9"/>
    <x v="2"/>
    <x v="64"/>
    <x v="75"/>
    <x v="75"/>
    <x v="75"/>
    <x v="67"/>
    <x v="14"/>
    <x v="28"/>
    <x v="1"/>
    <x v="29"/>
  </r>
  <r>
    <x v="9"/>
    <x v="2"/>
    <x v="65"/>
    <x v="76"/>
    <x v="76"/>
    <x v="76"/>
    <x v="68"/>
    <x v="12"/>
    <x v="35"/>
    <x v="1"/>
    <x v="36"/>
  </r>
  <r>
    <x v="9"/>
    <x v="0"/>
    <x v="66"/>
    <x v="77"/>
    <x v="77"/>
    <x v="77"/>
    <x v="69"/>
    <x v="15"/>
    <x v="0"/>
    <x v="1"/>
    <x v="0"/>
  </r>
  <r>
    <x v="9"/>
    <x v="0"/>
    <x v="67"/>
    <x v="78"/>
    <x v="78"/>
    <x v="78"/>
    <x v="63"/>
    <x v="4"/>
    <x v="36"/>
    <x v="1"/>
    <x v="37"/>
  </r>
  <r>
    <x v="9"/>
    <x v="0"/>
    <x v="68"/>
    <x v="79"/>
    <x v="79"/>
    <x v="79"/>
    <x v="70"/>
    <x v="5"/>
    <x v="10"/>
    <x v="1"/>
    <x v="11"/>
  </r>
  <r>
    <x v="9"/>
    <x v="0"/>
    <x v="69"/>
    <x v="80"/>
    <x v="80"/>
    <x v="80"/>
    <x v="71"/>
    <x v="4"/>
    <x v="17"/>
    <x v="1"/>
    <x v="18"/>
  </r>
  <r>
    <x v="9"/>
    <x v="0"/>
    <x v="70"/>
    <x v="81"/>
    <x v="81"/>
    <x v="81"/>
    <x v="72"/>
    <x v="5"/>
    <x v="37"/>
    <x v="1"/>
    <x v="38"/>
  </r>
  <r>
    <x v="9"/>
    <x v="0"/>
    <x v="71"/>
    <x v="18"/>
    <x v="82"/>
    <x v="82"/>
    <x v="73"/>
    <x v="4"/>
    <x v="3"/>
    <x v="1"/>
    <x v="3"/>
  </r>
  <r>
    <x v="9"/>
    <x v="1"/>
    <x v="66"/>
    <x v="82"/>
    <x v="83"/>
    <x v="83"/>
    <x v="74"/>
    <x v="13"/>
    <x v="14"/>
    <x v="1"/>
    <x v="15"/>
  </r>
  <r>
    <x v="9"/>
    <x v="1"/>
    <x v="64"/>
    <x v="83"/>
    <x v="84"/>
    <x v="84"/>
    <x v="75"/>
    <x v="12"/>
    <x v="35"/>
    <x v="1"/>
    <x v="36"/>
  </r>
  <r>
    <x v="9"/>
    <x v="1"/>
    <x v="65"/>
    <x v="84"/>
    <x v="85"/>
    <x v="85"/>
    <x v="3"/>
    <x v="17"/>
    <x v="20"/>
    <x v="1"/>
    <x v="21"/>
  </r>
  <r>
    <x v="9"/>
    <x v="1"/>
    <x v="72"/>
    <x v="85"/>
    <x v="86"/>
    <x v="86"/>
    <x v="76"/>
    <x v="12"/>
    <x v="3"/>
    <x v="1"/>
    <x v="3"/>
  </r>
  <r>
    <x v="9"/>
    <x v="1"/>
    <x v="68"/>
    <x v="86"/>
    <x v="87"/>
    <x v="87"/>
    <x v="77"/>
    <x v="17"/>
    <x v="15"/>
    <x v="1"/>
    <x v="16"/>
  </r>
  <r>
    <x v="9"/>
    <x v="1"/>
    <x v="73"/>
    <x v="87"/>
    <x v="88"/>
    <x v="88"/>
    <x v="78"/>
    <x v="17"/>
    <x v="20"/>
    <x v="1"/>
    <x v="21"/>
  </r>
  <r>
    <x v="9"/>
    <x v="1"/>
    <x v="69"/>
    <x v="88"/>
    <x v="89"/>
    <x v="89"/>
    <x v="79"/>
    <x v="17"/>
    <x v="16"/>
    <x v="1"/>
    <x v="17"/>
  </r>
  <r>
    <x v="9"/>
    <x v="1"/>
    <x v="74"/>
    <x v="89"/>
    <x v="90"/>
    <x v="90"/>
    <x v="80"/>
    <x v="14"/>
    <x v="3"/>
    <x v="1"/>
    <x v="3"/>
  </r>
  <r>
    <x v="9"/>
    <x v="1"/>
    <x v="70"/>
    <x v="90"/>
    <x v="91"/>
    <x v="91"/>
    <x v="81"/>
    <x v="12"/>
    <x v="35"/>
    <x v="1"/>
    <x v="36"/>
  </r>
  <r>
    <x v="9"/>
    <x v="1"/>
    <x v="75"/>
    <x v="91"/>
    <x v="92"/>
    <x v="92"/>
    <x v="76"/>
    <x v="12"/>
    <x v="33"/>
    <x v="1"/>
    <x v="34"/>
  </r>
  <r>
    <x v="9"/>
    <x v="1"/>
    <x v="71"/>
    <x v="92"/>
    <x v="93"/>
    <x v="93"/>
    <x v="82"/>
    <x v="18"/>
    <x v="33"/>
    <x v="1"/>
    <x v="34"/>
  </r>
  <r>
    <x v="9"/>
    <x v="1"/>
    <x v="76"/>
    <x v="93"/>
    <x v="94"/>
    <x v="94"/>
    <x v="77"/>
    <x v="17"/>
    <x v="24"/>
    <x v="1"/>
    <x v="25"/>
  </r>
  <r>
    <x v="9"/>
    <x v="1"/>
    <x v="77"/>
    <x v="94"/>
    <x v="95"/>
    <x v="95"/>
    <x v="83"/>
    <x v="14"/>
    <x v="15"/>
    <x v="1"/>
    <x v="16"/>
  </r>
  <r>
    <x v="10"/>
    <x v="0"/>
    <x v="78"/>
    <x v="95"/>
    <x v="96"/>
    <x v="96"/>
    <x v="84"/>
    <x v="21"/>
    <x v="38"/>
    <x v="1"/>
    <x v="39"/>
  </r>
  <r>
    <x v="10"/>
    <x v="0"/>
    <x v="79"/>
    <x v="96"/>
    <x v="97"/>
    <x v="97"/>
    <x v="85"/>
    <x v="10"/>
    <x v="29"/>
    <x v="0"/>
    <x v="30"/>
  </r>
  <r>
    <x v="10"/>
    <x v="0"/>
    <x v="80"/>
    <x v="97"/>
    <x v="98"/>
    <x v="98"/>
    <x v="86"/>
    <x v="20"/>
    <x v="38"/>
    <x v="1"/>
    <x v="39"/>
  </r>
  <r>
    <x v="11"/>
    <x v="2"/>
    <x v="81"/>
    <x v="98"/>
    <x v="99"/>
    <x v="99"/>
    <x v="87"/>
    <x v="22"/>
    <x v="39"/>
    <x v="0"/>
    <x v="40"/>
  </r>
  <r>
    <x v="11"/>
    <x v="2"/>
    <x v="82"/>
    <x v="99"/>
    <x v="100"/>
    <x v="100"/>
    <x v="88"/>
    <x v="23"/>
    <x v="32"/>
    <x v="0"/>
    <x v="33"/>
  </r>
  <r>
    <x v="11"/>
    <x v="0"/>
    <x v="83"/>
    <x v="100"/>
    <x v="101"/>
    <x v="101"/>
    <x v="89"/>
    <x v="24"/>
    <x v="5"/>
    <x v="0"/>
    <x v="5"/>
  </r>
  <r>
    <x v="11"/>
    <x v="0"/>
    <x v="84"/>
    <x v="101"/>
    <x v="102"/>
    <x v="102"/>
    <x v="90"/>
    <x v="9"/>
    <x v="10"/>
    <x v="1"/>
    <x v="11"/>
  </r>
  <r>
    <x v="11"/>
    <x v="1"/>
    <x v="82"/>
    <x v="102"/>
    <x v="103"/>
    <x v="103"/>
    <x v="91"/>
    <x v="18"/>
    <x v="17"/>
    <x v="1"/>
    <x v="18"/>
  </r>
  <r>
    <x v="11"/>
    <x v="1"/>
    <x v="85"/>
    <x v="103"/>
    <x v="104"/>
    <x v="104"/>
    <x v="92"/>
    <x v="4"/>
    <x v="3"/>
    <x v="1"/>
    <x v="3"/>
  </r>
  <r>
    <x v="11"/>
    <x v="1"/>
    <x v="86"/>
    <x v="104"/>
    <x v="105"/>
    <x v="105"/>
    <x v="93"/>
    <x v="4"/>
    <x v="40"/>
    <x v="0"/>
    <x v="41"/>
  </r>
  <r>
    <x v="11"/>
    <x v="1"/>
    <x v="87"/>
    <x v="105"/>
    <x v="106"/>
    <x v="86"/>
    <x v="94"/>
    <x v="5"/>
    <x v="25"/>
    <x v="1"/>
    <x v="26"/>
  </r>
  <r>
    <x v="12"/>
    <x v="3"/>
    <x v="88"/>
    <x v="106"/>
    <x v="107"/>
    <x v="106"/>
    <x v="95"/>
    <x v="24"/>
    <x v="34"/>
    <x v="0"/>
    <x v="35"/>
  </r>
  <r>
    <x v="12"/>
    <x v="2"/>
    <x v="89"/>
    <x v="107"/>
    <x v="108"/>
    <x v="107"/>
    <x v="96"/>
    <x v="9"/>
    <x v="4"/>
    <x v="1"/>
    <x v="4"/>
  </r>
  <r>
    <x v="12"/>
    <x v="1"/>
    <x v="90"/>
    <x v="108"/>
    <x v="109"/>
    <x v="108"/>
    <x v="97"/>
    <x v="1"/>
    <x v="10"/>
    <x v="1"/>
    <x v="11"/>
  </r>
  <r>
    <x v="13"/>
    <x v="2"/>
    <x v="91"/>
    <x v="109"/>
    <x v="110"/>
    <x v="109"/>
    <x v="98"/>
    <x v="25"/>
    <x v="6"/>
    <x v="1"/>
    <x v="7"/>
  </r>
  <r>
    <x v="13"/>
    <x v="1"/>
    <x v="92"/>
    <x v="110"/>
    <x v="111"/>
    <x v="110"/>
    <x v="99"/>
    <x v="5"/>
    <x v="36"/>
    <x v="1"/>
    <x v="37"/>
  </r>
  <r>
    <x v="13"/>
    <x v="1"/>
    <x v="93"/>
    <x v="111"/>
    <x v="112"/>
    <x v="111"/>
    <x v="100"/>
    <x v="5"/>
    <x v="30"/>
    <x v="0"/>
    <x v="31"/>
  </r>
  <r>
    <x v="13"/>
    <x v="1"/>
    <x v="94"/>
    <x v="112"/>
    <x v="113"/>
    <x v="112"/>
    <x v="101"/>
    <x v="12"/>
    <x v="28"/>
    <x v="1"/>
    <x v="29"/>
  </r>
  <r>
    <x v="14"/>
    <x v="0"/>
    <x v="95"/>
    <x v="113"/>
    <x v="114"/>
    <x v="113"/>
    <x v="102"/>
    <x v="7"/>
    <x v="0"/>
    <x v="1"/>
    <x v="0"/>
  </r>
  <r>
    <x v="14"/>
    <x v="0"/>
    <x v="96"/>
    <x v="114"/>
    <x v="115"/>
    <x v="114"/>
    <x v="103"/>
    <x v="2"/>
    <x v="0"/>
    <x v="1"/>
    <x v="0"/>
  </r>
  <r>
    <x v="14"/>
    <x v="1"/>
    <x v="96"/>
    <x v="115"/>
    <x v="116"/>
    <x v="115"/>
    <x v="104"/>
    <x v="3"/>
    <x v="5"/>
    <x v="0"/>
    <x v="5"/>
  </r>
  <r>
    <x v="15"/>
    <x v="3"/>
    <x v="97"/>
    <x v="116"/>
    <x v="117"/>
    <x v="116"/>
    <x v="94"/>
    <x v="0"/>
    <x v="32"/>
    <x v="0"/>
    <x v="33"/>
  </r>
  <r>
    <x v="15"/>
    <x v="2"/>
    <x v="98"/>
    <x v="117"/>
    <x v="118"/>
    <x v="117"/>
    <x v="105"/>
    <x v="4"/>
    <x v="34"/>
    <x v="0"/>
    <x v="35"/>
  </r>
  <r>
    <x v="15"/>
    <x v="0"/>
    <x v="99"/>
    <x v="118"/>
    <x v="119"/>
    <x v="118"/>
    <x v="106"/>
    <x v="24"/>
    <x v="25"/>
    <x v="1"/>
    <x v="26"/>
  </r>
  <r>
    <x v="15"/>
    <x v="0"/>
    <x v="100"/>
    <x v="119"/>
    <x v="120"/>
    <x v="119"/>
    <x v="107"/>
    <x v="26"/>
    <x v="14"/>
    <x v="1"/>
    <x v="15"/>
  </r>
  <r>
    <x v="15"/>
    <x v="0"/>
    <x v="97"/>
    <x v="120"/>
    <x v="121"/>
    <x v="120"/>
    <x v="108"/>
    <x v="11"/>
    <x v="41"/>
    <x v="1"/>
    <x v="42"/>
  </r>
  <r>
    <x v="15"/>
    <x v="0"/>
    <x v="98"/>
    <x v="121"/>
    <x v="122"/>
    <x v="121"/>
    <x v="109"/>
    <x v="5"/>
    <x v="19"/>
    <x v="1"/>
    <x v="20"/>
  </r>
  <r>
    <x v="15"/>
    <x v="1"/>
    <x v="97"/>
    <x v="122"/>
    <x v="123"/>
    <x v="122"/>
    <x v="110"/>
    <x v="4"/>
    <x v="35"/>
    <x v="1"/>
    <x v="36"/>
  </r>
  <r>
    <x v="15"/>
    <x v="1"/>
    <x v="98"/>
    <x v="123"/>
    <x v="124"/>
    <x v="123"/>
    <x v="55"/>
    <x v="6"/>
    <x v="33"/>
    <x v="1"/>
    <x v="34"/>
  </r>
  <r>
    <x v="15"/>
    <x v="1"/>
    <x v="101"/>
    <x v="124"/>
    <x v="125"/>
    <x v="124"/>
    <x v="104"/>
    <x v="6"/>
    <x v="21"/>
    <x v="0"/>
    <x v="22"/>
  </r>
  <r>
    <x v="16"/>
    <x v="1"/>
    <x v="102"/>
    <x v="125"/>
    <x v="126"/>
    <x v="125"/>
    <x v="111"/>
    <x v="5"/>
    <x v="11"/>
    <x v="0"/>
    <x v="12"/>
  </r>
  <r>
    <x v="16"/>
    <x v="1"/>
    <x v="103"/>
    <x v="126"/>
    <x v="127"/>
    <x v="126"/>
    <x v="48"/>
    <x v="15"/>
    <x v="4"/>
    <x v="0"/>
    <x v="4"/>
  </r>
  <r>
    <x v="16"/>
    <x v="1"/>
    <x v="104"/>
    <x v="127"/>
    <x v="128"/>
    <x v="127"/>
    <x v="112"/>
    <x v="15"/>
    <x v="30"/>
    <x v="0"/>
    <x v="31"/>
  </r>
  <r>
    <x v="16"/>
    <x v="1"/>
    <x v="105"/>
    <x v="128"/>
    <x v="129"/>
    <x v="128"/>
    <x v="112"/>
    <x v="2"/>
    <x v="39"/>
    <x v="0"/>
    <x v="40"/>
  </r>
  <r>
    <x v="17"/>
    <x v="3"/>
    <x v="19"/>
    <x v="129"/>
    <x v="130"/>
    <x v="129"/>
    <x v="113"/>
    <x v="17"/>
    <x v="20"/>
    <x v="1"/>
    <x v="21"/>
  </r>
  <r>
    <x v="17"/>
    <x v="3"/>
    <x v="20"/>
    <x v="130"/>
    <x v="131"/>
    <x v="130"/>
    <x v="114"/>
    <x v="17"/>
    <x v="20"/>
    <x v="1"/>
    <x v="21"/>
  </r>
  <r>
    <x v="17"/>
    <x v="3"/>
    <x v="18"/>
    <x v="131"/>
    <x v="132"/>
    <x v="131"/>
    <x v="115"/>
    <x v="17"/>
    <x v="20"/>
    <x v="1"/>
    <x v="21"/>
  </r>
  <r>
    <x v="17"/>
    <x v="3"/>
    <x v="106"/>
    <x v="132"/>
    <x v="133"/>
    <x v="132"/>
    <x v="116"/>
    <x v="18"/>
    <x v="26"/>
    <x v="1"/>
    <x v="27"/>
  </r>
  <r>
    <x v="17"/>
    <x v="2"/>
    <x v="41"/>
    <x v="133"/>
    <x v="134"/>
    <x v="133"/>
    <x v="117"/>
    <x v="25"/>
    <x v="24"/>
    <x v="1"/>
    <x v="25"/>
  </r>
  <r>
    <x v="17"/>
    <x v="1"/>
    <x v="107"/>
    <x v="134"/>
    <x v="135"/>
    <x v="134"/>
    <x v="118"/>
    <x v="25"/>
    <x v="24"/>
    <x v="1"/>
    <x v="25"/>
  </r>
  <r>
    <x v="18"/>
    <x v="3"/>
    <x v="108"/>
    <x v="135"/>
    <x v="136"/>
    <x v="135"/>
    <x v="119"/>
    <x v="12"/>
    <x v="35"/>
    <x v="1"/>
    <x v="36"/>
  </r>
  <r>
    <x v="18"/>
    <x v="0"/>
    <x v="109"/>
    <x v="136"/>
    <x v="137"/>
    <x v="136"/>
    <x v="120"/>
    <x v="5"/>
    <x v="19"/>
    <x v="1"/>
    <x v="20"/>
  </r>
  <r>
    <x v="18"/>
    <x v="0"/>
    <x v="110"/>
    <x v="137"/>
    <x v="138"/>
    <x v="137"/>
    <x v="121"/>
    <x v="4"/>
    <x v="34"/>
    <x v="0"/>
    <x v="35"/>
  </r>
  <r>
    <x v="18"/>
    <x v="0"/>
    <x v="111"/>
    <x v="138"/>
    <x v="139"/>
    <x v="138"/>
    <x v="122"/>
    <x v="5"/>
    <x v="19"/>
    <x v="1"/>
    <x v="20"/>
  </r>
  <r>
    <x v="18"/>
    <x v="0"/>
    <x v="112"/>
    <x v="139"/>
    <x v="140"/>
    <x v="139"/>
    <x v="123"/>
    <x v="4"/>
    <x v="36"/>
    <x v="1"/>
    <x v="37"/>
  </r>
  <r>
    <x v="18"/>
    <x v="1"/>
    <x v="113"/>
    <x v="140"/>
    <x v="141"/>
    <x v="140"/>
    <x v="124"/>
    <x v="14"/>
    <x v="15"/>
    <x v="1"/>
    <x v="16"/>
  </r>
  <r>
    <x v="18"/>
    <x v="1"/>
    <x v="114"/>
    <x v="141"/>
    <x v="142"/>
    <x v="141"/>
    <x v="125"/>
    <x v="2"/>
    <x v="3"/>
    <x v="1"/>
    <x v="3"/>
  </r>
  <r>
    <x v="18"/>
    <x v="1"/>
    <x v="115"/>
    <x v="142"/>
    <x v="143"/>
    <x v="142"/>
    <x v="126"/>
    <x v="14"/>
    <x v="28"/>
    <x v="1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M3:N23" firstHeaderRow="1" firstDataRow="1" firstDataCol="1"/>
  <pivotFields count="11"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compact="0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计数项:参与人数是否过半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"/>
  <sheetViews>
    <sheetView tabSelected="1" zoomScale="85" zoomScaleNormal="85" workbookViewId="0">
      <selection activeCell="N6" sqref="N6"/>
    </sheetView>
  </sheetViews>
  <sheetFormatPr defaultColWidth="8.72727272727273" defaultRowHeight="14"/>
  <cols>
    <col min="1" max="1" width="32" customWidth="1"/>
    <col min="2" max="2" width="5.54545454545455" customWidth="1"/>
    <col min="3" max="3" width="34.2727272727273" customWidth="1"/>
    <col min="4" max="4" width="9.54545454545454" customWidth="1"/>
    <col min="5" max="5" width="11.7272727272727" customWidth="1"/>
    <col min="6" max="6" width="15.1818181818182" customWidth="1"/>
    <col min="7" max="7" width="25.2727272727273" customWidth="1"/>
    <col min="8" max="8" width="11.8181818181818" customWidth="1"/>
    <col min="9" max="9" width="9.54545454545454" customWidth="1"/>
    <col min="10" max="10" width="18.5454545454545" customWidth="1"/>
    <col min="11" max="11" width="11.81818181818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2" t="s">
        <v>11</v>
      </c>
      <c r="B2" s="7" t="s">
        <v>12</v>
      </c>
      <c r="C2" s="1" t="s">
        <v>13</v>
      </c>
      <c r="D2" s="1" t="s">
        <v>14</v>
      </c>
      <c r="E2" s="1">
        <v>3257549975</v>
      </c>
      <c r="F2" s="1">
        <v>15083965761</v>
      </c>
      <c r="G2" s="1" t="s">
        <v>15</v>
      </c>
      <c r="H2" s="1">
        <v>43</v>
      </c>
      <c r="I2" s="1">
        <v>21</v>
      </c>
      <c r="J2" s="1" t="str">
        <f t="shared" ref="J2:J7" si="0">IF(I2/H2&lt;0.5,"否","是")</f>
        <v>否</v>
      </c>
      <c r="K2" s="1">
        <f t="shared" ref="K2:K7" si="1">I2*8</f>
        <v>168</v>
      </c>
    </row>
    <row r="3" spans="1:12">
      <c r="A3" s="2"/>
      <c r="B3" s="7"/>
      <c r="C3" s="1" t="s">
        <v>16</v>
      </c>
      <c r="D3" s="1" t="s">
        <v>17</v>
      </c>
      <c r="E3" s="1">
        <v>3990240445</v>
      </c>
      <c r="F3" s="1">
        <v>19082731940</v>
      </c>
      <c r="G3" s="1" t="s">
        <v>18</v>
      </c>
      <c r="H3" s="1">
        <v>32</v>
      </c>
      <c r="I3" s="1">
        <v>12</v>
      </c>
      <c r="J3" s="1" t="s">
        <v>19</v>
      </c>
      <c r="K3" s="1">
        <f t="shared" si="1"/>
        <v>96</v>
      </c>
    </row>
    <row r="4" spans="1:12">
      <c r="A4" s="2"/>
      <c r="B4" s="7" t="s">
        <v>20</v>
      </c>
      <c r="C4" s="1" t="s">
        <v>13</v>
      </c>
      <c r="D4" s="1" t="s">
        <v>21</v>
      </c>
      <c r="E4" s="1">
        <v>3416200752</v>
      </c>
      <c r="F4" s="1">
        <v>18145977129</v>
      </c>
      <c r="G4" s="1" t="s">
        <v>22</v>
      </c>
      <c r="H4" s="1">
        <v>32</v>
      </c>
      <c r="I4" s="3">
        <v>32</v>
      </c>
      <c r="J4" s="1" t="str">
        <f t="shared" si="0"/>
        <v>是</v>
      </c>
      <c r="K4" s="1">
        <f t="shared" si="1"/>
        <v>256</v>
      </c>
      <c r="L4" t="s">
        <v>23</v>
      </c>
    </row>
    <row r="5" spans="1:12">
      <c r="A5" s="2"/>
      <c r="B5" s="7"/>
      <c r="C5" s="1" t="s">
        <v>24</v>
      </c>
      <c r="D5" s="1" t="s">
        <v>25</v>
      </c>
      <c r="E5" s="1">
        <v>293584659</v>
      </c>
      <c r="F5" s="1">
        <v>17562451358</v>
      </c>
      <c r="G5" s="1" t="s">
        <v>26</v>
      </c>
      <c r="H5" s="1">
        <v>29</v>
      </c>
      <c r="I5" s="3">
        <v>29</v>
      </c>
      <c r="J5" s="1" t="str">
        <f t="shared" si="0"/>
        <v>是</v>
      </c>
      <c r="K5" s="1">
        <f t="shared" si="1"/>
        <v>232</v>
      </c>
      <c r="L5" t="s">
        <v>23</v>
      </c>
    </row>
    <row r="6" spans="1:12">
      <c r="A6" s="2"/>
      <c r="B6" s="7"/>
      <c r="C6" s="1" t="s">
        <v>27</v>
      </c>
      <c r="D6" s="1" t="s">
        <v>28</v>
      </c>
      <c r="E6" s="1">
        <v>2251732919</v>
      </c>
      <c r="F6" s="1">
        <v>19115211023</v>
      </c>
      <c r="G6" s="1" t="s">
        <v>29</v>
      </c>
      <c r="H6" s="1">
        <v>30</v>
      </c>
      <c r="I6" s="1">
        <v>14</v>
      </c>
      <c r="J6" s="1" t="str">
        <f t="shared" si="0"/>
        <v>否</v>
      </c>
      <c r="K6" s="1">
        <f t="shared" si="1"/>
        <v>112</v>
      </c>
      <c r="L6" t="s">
        <v>23</v>
      </c>
    </row>
    <row r="7" spans="1:12">
      <c r="A7" s="2"/>
      <c r="B7" s="7"/>
      <c r="C7" s="1" t="s">
        <v>30</v>
      </c>
      <c r="D7" s="1" t="s">
        <v>31</v>
      </c>
      <c r="E7" s="1">
        <v>2435317830</v>
      </c>
      <c r="F7" s="1">
        <v>18866862903</v>
      </c>
      <c r="G7" s="1" t="s">
        <v>32</v>
      </c>
      <c r="H7" s="1">
        <v>39</v>
      </c>
      <c r="I7" s="3">
        <v>10</v>
      </c>
      <c r="J7" s="1" t="str">
        <f t="shared" si="0"/>
        <v>否</v>
      </c>
      <c r="K7" s="1">
        <f t="shared" si="1"/>
        <v>80</v>
      </c>
      <c r="L7" t="s">
        <v>23</v>
      </c>
    </row>
    <row r="8" spans="1:12">
      <c r="A8" s="2" t="s">
        <v>33</v>
      </c>
      <c r="B8" s="7" t="s">
        <v>20</v>
      </c>
      <c r="C8" s="1" t="s">
        <v>34</v>
      </c>
      <c r="D8" s="1" t="s">
        <v>35</v>
      </c>
      <c r="E8" s="1">
        <v>2421595773</v>
      </c>
      <c r="F8" s="1">
        <v>18274653782</v>
      </c>
      <c r="G8" s="1" t="s">
        <v>36</v>
      </c>
      <c r="H8" s="1">
        <v>30</v>
      </c>
      <c r="I8" s="1">
        <v>10</v>
      </c>
      <c r="J8" s="1" t="s">
        <v>19</v>
      </c>
      <c r="K8" s="1">
        <v>95</v>
      </c>
      <c r="L8" t="s">
        <v>37</v>
      </c>
    </row>
    <row r="9" spans="1:12">
      <c r="A9" s="2"/>
      <c r="B9" s="7"/>
      <c r="C9" s="1" t="s">
        <v>38</v>
      </c>
      <c r="D9" s="4" t="s">
        <v>39</v>
      </c>
      <c r="E9" s="3">
        <v>2649668416</v>
      </c>
      <c r="F9" s="3">
        <v>13618411730</v>
      </c>
      <c r="G9" s="4" t="s">
        <v>40</v>
      </c>
      <c r="H9" s="1">
        <v>40</v>
      </c>
      <c r="I9" s="3">
        <v>15</v>
      </c>
      <c r="J9" s="1" t="str">
        <f t="shared" ref="J9:J17" si="2">IF(I9/H9&lt;0.5,"否","是")</f>
        <v>否</v>
      </c>
      <c r="K9" s="1">
        <f t="shared" ref="K9:K72" si="3">I9*8</f>
        <v>120</v>
      </c>
      <c r="L9" t="s">
        <v>37</v>
      </c>
    </row>
    <row r="10" spans="1:12">
      <c r="A10" s="2"/>
      <c r="B10" s="7"/>
      <c r="C10" s="1" t="s">
        <v>41</v>
      </c>
      <c r="D10" s="4" t="s">
        <v>42</v>
      </c>
      <c r="E10" s="3">
        <v>2757468163</v>
      </c>
      <c r="F10" s="3">
        <v>13228069016</v>
      </c>
      <c r="G10" s="4" t="s">
        <v>43</v>
      </c>
      <c r="H10" s="1">
        <v>40</v>
      </c>
      <c r="I10" s="3">
        <v>16</v>
      </c>
      <c r="J10" s="1" t="str">
        <f t="shared" si="2"/>
        <v>否</v>
      </c>
      <c r="K10" s="1">
        <f t="shared" si="3"/>
        <v>128</v>
      </c>
      <c r="L10" t="s">
        <v>37</v>
      </c>
    </row>
    <row r="11" spans="1:12">
      <c r="A11" s="2"/>
      <c r="B11" s="7"/>
      <c r="C11" s="1" t="s">
        <v>44</v>
      </c>
      <c r="D11" s="1" t="s">
        <v>45</v>
      </c>
      <c r="E11" s="1">
        <v>3193552022</v>
      </c>
      <c r="F11" s="1">
        <v>18269889855</v>
      </c>
      <c r="G11" s="1" t="s">
        <v>46</v>
      </c>
      <c r="H11" s="1">
        <v>40</v>
      </c>
      <c r="I11" s="1">
        <v>5</v>
      </c>
      <c r="J11" s="1" t="s">
        <v>19</v>
      </c>
      <c r="K11" s="1">
        <f t="shared" si="3"/>
        <v>40</v>
      </c>
      <c r="L11" t="s">
        <v>47</v>
      </c>
    </row>
    <row r="12" spans="1:12">
      <c r="A12" s="2"/>
      <c r="B12" s="7"/>
      <c r="C12" s="1" t="s">
        <v>48</v>
      </c>
      <c r="D12" s="1" t="s">
        <v>49</v>
      </c>
      <c r="E12" s="1">
        <v>227683692</v>
      </c>
      <c r="F12" s="1">
        <v>13991736364</v>
      </c>
      <c r="G12" s="1" t="s">
        <v>50</v>
      </c>
      <c r="H12" s="1">
        <v>41</v>
      </c>
      <c r="I12" s="1">
        <v>5</v>
      </c>
      <c r="J12" s="1" t="s">
        <v>19</v>
      </c>
      <c r="K12" s="1">
        <f t="shared" si="3"/>
        <v>40</v>
      </c>
      <c r="L12" t="s">
        <v>47</v>
      </c>
    </row>
    <row r="13" spans="1:12">
      <c r="A13" s="2"/>
      <c r="B13" s="7"/>
      <c r="C13" s="1" t="s">
        <v>51</v>
      </c>
      <c r="D13" s="1" t="s">
        <v>52</v>
      </c>
      <c r="E13" s="1">
        <v>1169437663</v>
      </c>
      <c r="F13" s="1">
        <v>15575233792</v>
      </c>
      <c r="G13" s="1" t="s">
        <v>53</v>
      </c>
      <c r="H13" s="1">
        <v>40</v>
      </c>
      <c r="I13" s="1">
        <v>5</v>
      </c>
      <c r="J13" s="1" t="s">
        <v>19</v>
      </c>
      <c r="K13" s="1">
        <f t="shared" si="3"/>
        <v>40</v>
      </c>
      <c r="L13" t="s">
        <v>47</v>
      </c>
    </row>
    <row r="14" spans="1:12">
      <c r="A14" s="2" t="s">
        <v>54</v>
      </c>
      <c r="B14" s="7" t="s">
        <v>20</v>
      </c>
      <c r="C14" s="1" t="s">
        <v>55</v>
      </c>
      <c r="D14" s="1" t="s">
        <v>56</v>
      </c>
      <c r="E14" s="1">
        <v>2159135638</v>
      </c>
      <c r="F14" s="1">
        <v>16692237232</v>
      </c>
      <c r="G14" s="1" t="s">
        <v>57</v>
      </c>
      <c r="H14" s="1">
        <v>24</v>
      </c>
      <c r="I14" s="1">
        <v>24</v>
      </c>
      <c r="J14" s="1" t="str">
        <f t="shared" si="2"/>
        <v>是</v>
      </c>
      <c r="K14" s="1">
        <f t="shared" si="3"/>
        <v>192</v>
      </c>
      <c r="L14" t="s">
        <v>58</v>
      </c>
    </row>
    <row r="15" spans="1:12">
      <c r="A15" s="2"/>
      <c r="B15" s="7"/>
      <c r="C15" s="1" t="s">
        <v>59</v>
      </c>
      <c r="D15" s="1" t="s">
        <v>60</v>
      </c>
      <c r="E15" s="1">
        <v>3331083794</v>
      </c>
      <c r="F15" s="1">
        <v>18867455807</v>
      </c>
      <c r="G15" s="1" t="s">
        <v>61</v>
      </c>
      <c r="H15" s="1">
        <v>23</v>
      </c>
      <c r="I15" s="3">
        <v>23</v>
      </c>
      <c r="J15" s="1" t="str">
        <f t="shared" si="2"/>
        <v>是</v>
      </c>
      <c r="K15" s="1">
        <f t="shared" si="3"/>
        <v>184</v>
      </c>
      <c r="L15" t="s">
        <v>58</v>
      </c>
    </row>
    <row r="16" spans="1:12">
      <c r="A16" s="2"/>
      <c r="B16" s="7"/>
      <c r="C16" s="1" t="s">
        <v>62</v>
      </c>
      <c r="D16" s="1" t="s">
        <v>63</v>
      </c>
      <c r="E16" s="1">
        <v>2763953712</v>
      </c>
      <c r="F16" s="1">
        <v>18873988172</v>
      </c>
      <c r="G16" s="1" t="s">
        <v>64</v>
      </c>
      <c r="H16" s="1">
        <v>23</v>
      </c>
      <c r="I16" s="3">
        <v>13</v>
      </c>
      <c r="J16" s="1" t="str">
        <f t="shared" si="2"/>
        <v>是</v>
      </c>
      <c r="K16" s="1">
        <f t="shared" si="3"/>
        <v>104</v>
      </c>
      <c r="L16" t="s">
        <v>58</v>
      </c>
    </row>
    <row r="17" spans="1:12">
      <c r="A17" s="2"/>
      <c r="B17" s="7"/>
      <c r="C17" s="1" t="s">
        <v>65</v>
      </c>
      <c r="D17" s="1" t="s">
        <v>66</v>
      </c>
      <c r="E17" s="1">
        <v>1914424122</v>
      </c>
      <c r="F17" s="1">
        <v>19918071620</v>
      </c>
      <c r="G17" s="1" t="s">
        <v>57</v>
      </c>
      <c r="H17" s="1">
        <v>25</v>
      </c>
      <c r="I17" s="3">
        <v>15</v>
      </c>
      <c r="J17" s="1" t="str">
        <f t="shared" si="2"/>
        <v>是</v>
      </c>
      <c r="K17" s="1">
        <f t="shared" si="3"/>
        <v>120</v>
      </c>
      <c r="L17" t="s">
        <v>58</v>
      </c>
    </row>
    <row r="18" spans="1:12">
      <c r="A18" s="2" t="s">
        <v>67</v>
      </c>
      <c r="B18" s="7" t="s">
        <v>12</v>
      </c>
      <c r="C18" s="1" t="s">
        <v>68</v>
      </c>
      <c r="D18" s="1" t="s">
        <v>69</v>
      </c>
      <c r="E18" s="1">
        <v>3553571838</v>
      </c>
      <c r="F18" s="1">
        <v>13843369538</v>
      </c>
      <c r="G18" s="1" t="s">
        <v>70</v>
      </c>
      <c r="H18" s="1">
        <v>39</v>
      </c>
      <c r="I18" s="1">
        <v>26</v>
      </c>
      <c r="J18" s="1" t="s">
        <v>71</v>
      </c>
      <c r="K18" s="1">
        <f t="shared" si="3"/>
        <v>208</v>
      </c>
    </row>
    <row r="19" spans="1:12">
      <c r="A19" s="2"/>
      <c r="B19" s="7"/>
      <c r="C19" s="1" t="s">
        <v>72</v>
      </c>
      <c r="D19" s="1" t="s">
        <v>73</v>
      </c>
      <c r="E19" s="1">
        <v>1503789340</v>
      </c>
      <c r="F19" s="1">
        <v>13566701895</v>
      </c>
      <c r="G19" s="1" t="s">
        <v>74</v>
      </c>
      <c r="H19" s="1">
        <v>49</v>
      </c>
      <c r="I19" s="1">
        <v>49</v>
      </c>
      <c r="J19" s="1" t="s">
        <v>71</v>
      </c>
      <c r="K19" s="1">
        <f t="shared" si="3"/>
        <v>392</v>
      </c>
    </row>
    <row r="20" spans="1:12">
      <c r="A20" s="2"/>
      <c r="B20" s="7"/>
      <c r="C20" s="1" t="s">
        <v>75</v>
      </c>
      <c r="D20" s="1" t="s">
        <v>76</v>
      </c>
      <c r="E20" s="1">
        <v>1728448928</v>
      </c>
      <c r="F20" s="1">
        <v>18620060525</v>
      </c>
      <c r="G20" s="1" t="s">
        <v>77</v>
      </c>
      <c r="H20" s="1">
        <v>51</v>
      </c>
      <c r="I20" s="1">
        <v>38</v>
      </c>
      <c r="J20" s="1" t="s">
        <v>71</v>
      </c>
      <c r="K20" s="1">
        <f t="shared" si="3"/>
        <v>304</v>
      </c>
    </row>
    <row r="21" spans="1:12">
      <c r="A21" s="2"/>
      <c r="B21" s="7" t="s">
        <v>20</v>
      </c>
      <c r="C21" s="1" t="s">
        <v>78</v>
      </c>
      <c r="D21" s="1" t="s">
        <v>79</v>
      </c>
      <c r="E21" s="1">
        <v>3255532126</v>
      </c>
      <c r="F21" s="1">
        <v>18102420206</v>
      </c>
      <c r="G21" s="1" t="s">
        <v>80</v>
      </c>
      <c r="H21" s="1">
        <v>37</v>
      </c>
      <c r="I21" s="3">
        <v>35</v>
      </c>
      <c r="J21" s="1" t="str">
        <f t="shared" ref="J21:J38" si="4">IF(I21/H21&lt;0.5,"否","是")</f>
        <v>是</v>
      </c>
      <c r="K21" s="1">
        <f t="shared" si="3"/>
        <v>280</v>
      </c>
      <c r="L21" t="s">
        <v>81</v>
      </c>
    </row>
    <row r="22" spans="1:12">
      <c r="A22" s="2"/>
      <c r="B22" s="7"/>
      <c r="C22" s="1" t="s">
        <v>82</v>
      </c>
      <c r="D22" s="1" t="s">
        <v>83</v>
      </c>
      <c r="E22" s="1">
        <v>3812344298</v>
      </c>
      <c r="F22" s="1">
        <v>19217420637</v>
      </c>
      <c r="G22" s="1" t="s">
        <v>84</v>
      </c>
      <c r="H22" s="1">
        <v>37</v>
      </c>
      <c r="I22" s="3">
        <v>28</v>
      </c>
      <c r="J22" s="1" t="str">
        <f t="shared" si="4"/>
        <v>是</v>
      </c>
      <c r="K22" s="1">
        <f t="shared" si="3"/>
        <v>224</v>
      </c>
      <c r="L22" t="s">
        <v>81</v>
      </c>
    </row>
    <row r="23" spans="1:12">
      <c r="A23" s="2"/>
      <c r="B23" s="7"/>
      <c r="C23" s="1" t="s">
        <v>85</v>
      </c>
      <c r="D23" s="1" t="s">
        <v>86</v>
      </c>
      <c r="E23" s="1">
        <v>417473370</v>
      </c>
      <c r="F23" s="1">
        <v>15762671192</v>
      </c>
      <c r="G23" s="1" t="s">
        <v>87</v>
      </c>
      <c r="H23" s="1">
        <v>38</v>
      </c>
      <c r="I23" s="3">
        <v>31</v>
      </c>
      <c r="J23" s="1" t="str">
        <f t="shared" si="4"/>
        <v>是</v>
      </c>
      <c r="K23" s="1">
        <f t="shared" si="3"/>
        <v>248</v>
      </c>
      <c r="L23" t="s">
        <v>81</v>
      </c>
    </row>
    <row r="24" spans="1:12">
      <c r="A24" s="2"/>
      <c r="B24" s="7"/>
      <c r="C24" s="1" t="s">
        <v>68</v>
      </c>
      <c r="D24" s="1" t="s">
        <v>88</v>
      </c>
      <c r="E24" s="1"/>
      <c r="F24" s="1">
        <v>15367604693</v>
      </c>
      <c r="G24" s="1" t="s">
        <v>89</v>
      </c>
      <c r="H24" s="1">
        <v>38</v>
      </c>
      <c r="I24" s="3">
        <v>32</v>
      </c>
      <c r="J24" s="1" t="str">
        <f t="shared" si="4"/>
        <v>是</v>
      </c>
      <c r="K24" s="1">
        <f t="shared" si="3"/>
        <v>256</v>
      </c>
      <c r="L24" t="s">
        <v>81</v>
      </c>
    </row>
    <row r="25" spans="1:12">
      <c r="A25" s="2"/>
      <c r="B25" s="7"/>
      <c r="C25" s="1" t="s">
        <v>90</v>
      </c>
      <c r="D25" s="1" t="s">
        <v>91</v>
      </c>
      <c r="E25" s="1">
        <v>3802239021</v>
      </c>
      <c r="F25" s="1">
        <v>17891073729</v>
      </c>
      <c r="G25" s="1" t="s">
        <v>92</v>
      </c>
      <c r="H25" s="1">
        <v>35</v>
      </c>
      <c r="I25" s="3">
        <v>11</v>
      </c>
      <c r="J25" s="1" t="str">
        <f t="shared" si="4"/>
        <v>否</v>
      </c>
      <c r="K25" s="1">
        <f t="shared" si="3"/>
        <v>88</v>
      </c>
      <c r="L25" t="s">
        <v>81</v>
      </c>
    </row>
    <row r="26" spans="1:12">
      <c r="A26" s="2"/>
      <c r="B26" s="7"/>
      <c r="C26" s="1" t="s">
        <v>93</v>
      </c>
      <c r="D26" s="1" t="s">
        <v>94</v>
      </c>
      <c r="E26" s="1">
        <v>2827257524</v>
      </c>
      <c r="F26" s="1">
        <v>13375487537</v>
      </c>
      <c r="G26" s="1" t="s">
        <v>95</v>
      </c>
      <c r="H26" s="1">
        <v>29</v>
      </c>
      <c r="I26" s="3">
        <v>29</v>
      </c>
      <c r="J26" s="1" t="str">
        <f t="shared" si="4"/>
        <v>是</v>
      </c>
      <c r="K26" s="1">
        <f t="shared" si="3"/>
        <v>232</v>
      </c>
      <c r="L26" t="s">
        <v>81</v>
      </c>
    </row>
    <row r="27" spans="1:12">
      <c r="A27" s="2"/>
      <c r="B27" s="7"/>
      <c r="C27" s="1" t="s">
        <v>96</v>
      </c>
      <c r="D27" s="1" t="s">
        <v>97</v>
      </c>
      <c r="E27" s="1">
        <v>3304528782</v>
      </c>
      <c r="F27" s="1">
        <v>18090425921</v>
      </c>
      <c r="G27" s="1" t="s">
        <v>98</v>
      </c>
      <c r="H27" s="1">
        <v>39</v>
      </c>
      <c r="I27" s="3">
        <v>38</v>
      </c>
      <c r="J27" s="1" t="str">
        <f t="shared" si="4"/>
        <v>是</v>
      </c>
      <c r="K27" s="1">
        <f t="shared" si="3"/>
        <v>304</v>
      </c>
      <c r="L27" t="s">
        <v>81</v>
      </c>
    </row>
    <row r="28" spans="1:12">
      <c r="A28" s="2"/>
      <c r="B28" s="7"/>
      <c r="C28" s="1" t="s">
        <v>99</v>
      </c>
      <c r="D28" s="1" t="s">
        <v>100</v>
      </c>
      <c r="E28" s="1">
        <v>2690674839</v>
      </c>
      <c r="F28" s="1">
        <v>19579688312</v>
      </c>
      <c r="G28" s="1" t="s">
        <v>101</v>
      </c>
      <c r="H28" s="1">
        <v>40</v>
      </c>
      <c r="I28" s="3">
        <v>20</v>
      </c>
      <c r="J28" s="1" t="str">
        <f t="shared" si="4"/>
        <v>是</v>
      </c>
      <c r="K28" s="1">
        <f t="shared" si="3"/>
        <v>160</v>
      </c>
      <c r="L28" t="s">
        <v>81</v>
      </c>
    </row>
    <row r="29" spans="1:12">
      <c r="A29" s="2"/>
      <c r="B29" s="7"/>
      <c r="C29" s="1" t="s">
        <v>72</v>
      </c>
      <c r="D29" s="1" t="s">
        <v>102</v>
      </c>
      <c r="E29" s="1">
        <v>1162622153</v>
      </c>
      <c r="F29" s="1">
        <v>18555680950</v>
      </c>
      <c r="G29" s="1" t="s">
        <v>103</v>
      </c>
      <c r="H29" s="1">
        <v>40</v>
      </c>
      <c r="I29" s="3">
        <v>36</v>
      </c>
      <c r="J29" s="1" t="str">
        <f t="shared" si="4"/>
        <v>是</v>
      </c>
      <c r="K29" s="1">
        <f t="shared" si="3"/>
        <v>288</v>
      </c>
      <c r="L29" t="s">
        <v>81</v>
      </c>
    </row>
    <row r="30" spans="1:12">
      <c r="A30" s="2"/>
      <c r="B30" s="7"/>
      <c r="C30" s="1" t="s">
        <v>75</v>
      </c>
      <c r="D30" s="1" t="s">
        <v>104</v>
      </c>
      <c r="E30" s="1">
        <v>2332601085</v>
      </c>
      <c r="F30" s="1">
        <v>15187526471</v>
      </c>
      <c r="G30" s="1" t="s">
        <v>105</v>
      </c>
      <c r="H30" s="1">
        <v>40</v>
      </c>
      <c r="I30" s="3">
        <v>38</v>
      </c>
      <c r="J30" s="1" t="str">
        <f t="shared" si="4"/>
        <v>是</v>
      </c>
      <c r="K30" s="1">
        <f t="shared" si="3"/>
        <v>304</v>
      </c>
      <c r="L30" t="s">
        <v>81</v>
      </c>
    </row>
    <row r="31" spans="1:12">
      <c r="A31" s="2" t="s">
        <v>106</v>
      </c>
      <c r="B31" s="7" t="s">
        <v>107</v>
      </c>
      <c r="C31" s="1" t="s">
        <v>108</v>
      </c>
      <c r="D31" s="1" t="s">
        <v>109</v>
      </c>
      <c r="E31" s="1">
        <v>3090014995</v>
      </c>
      <c r="F31" s="1">
        <v>18297750861</v>
      </c>
      <c r="G31" s="1" t="s">
        <v>110</v>
      </c>
      <c r="H31" s="1">
        <v>37</v>
      </c>
      <c r="I31" s="3">
        <v>8</v>
      </c>
      <c r="J31" s="1" t="str">
        <f t="shared" si="4"/>
        <v>否</v>
      </c>
      <c r="K31" s="1">
        <f t="shared" si="3"/>
        <v>64</v>
      </c>
    </row>
    <row r="32" spans="1:12">
      <c r="A32" s="2"/>
      <c r="B32" s="7"/>
      <c r="C32" s="1" t="s">
        <v>111</v>
      </c>
      <c r="D32" s="1" t="s">
        <v>112</v>
      </c>
      <c r="E32" s="1">
        <v>2535043573</v>
      </c>
      <c r="F32" s="1">
        <v>15197546889</v>
      </c>
      <c r="G32" s="1" t="s">
        <v>113</v>
      </c>
      <c r="H32" s="1">
        <v>42</v>
      </c>
      <c r="I32" s="1">
        <v>1</v>
      </c>
      <c r="J32" s="1" t="str">
        <f t="shared" si="4"/>
        <v>否</v>
      </c>
      <c r="K32" s="1">
        <f t="shared" si="3"/>
        <v>8</v>
      </c>
    </row>
    <row r="33" spans="1:12">
      <c r="A33" s="2"/>
      <c r="B33" s="7" t="s">
        <v>12</v>
      </c>
      <c r="C33" s="1" t="s">
        <v>114</v>
      </c>
      <c r="D33" s="1" t="s">
        <v>115</v>
      </c>
      <c r="E33" s="1">
        <v>2978227252</v>
      </c>
      <c r="F33" s="1">
        <v>18823283140</v>
      </c>
      <c r="G33" s="1" t="s">
        <v>116</v>
      </c>
      <c r="H33" s="1">
        <v>39</v>
      </c>
      <c r="I33" s="3">
        <v>25</v>
      </c>
      <c r="J33" s="1" t="str">
        <f t="shared" si="4"/>
        <v>是</v>
      </c>
      <c r="K33" s="1">
        <f t="shared" si="3"/>
        <v>200</v>
      </c>
      <c r="L33" t="s">
        <v>117</v>
      </c>
    </row>
    <row r="34" spans="1:12">
      <c r="A34" s="2"/>
      <c r="B34" s="7"/>
      <c r="C34" s="1" t="s">
        <v>118</v>
      </c>
      <c r="D34" s="4" t="s">
        <v>119</v>
      </c>
      <c r="E34" s="1">
        <v>2515384386</v>
      </c>
      <c r="F34" s="1">
        <v>17267106402</v>
      </c>
      <c r="G34" s="1" t="s">
        <v>120</v>
      </c>
      <c r="H34" s="1">
        <v>32</v>
      </c>
      <c r="I34" s="3">
        <v>16</v>
      </c>
      <c r="J34" s="1" t="str">
        <f t="shared" si="4"/>
        <v>是</v>
      </c>
      <c r="K34" s="1">
        <f t="shared" si="3"/>
        <v>128</v>
      </c>
      <c r="L34" t="s">
        <v>117</v>
      </c>
    </row>
    <row r="35" spans="1:12">
      <c r="A35" s="2"/>
      <c r="B35" s="7" t="s">
        <v>20</v>
      </c>
      <c r="C35" s="1" t="s">
        <v>108</v>
      </c>
      <c r="D35" s="1" t="s">
        <v>121</v>
      </c>
      <c r="E35" s="1">
        <v>3531491938</v>
      </c>
      <c r="F35" s="1">
        <v>13907646823</v>
      </c>
      <c r="G35" s="1" t="s">
        <v>122</v>
      </c>
      <c r="H35" s="1">
        <v>40</v>
      </c>
      <c r="I35" s="3">
        <v>28</v>
      </c>
      <c r="J35" s="1" t="str">
        <f t="shared" si="4"/>
        <v>是</v>
      </c>
      <c r="K35" s="1">
        <f t="shared" si="3"/>
        <v>224</v>
      </c>
      <c r="L35" t="s">
        <v>123</v>
      </c>
    </row>
    <row r="36" spans="1:12">
      <c r="A36" s="2"/>
      <c r="B36" s="7"/>
      <c r="C36" s="1" t="s">
        <v>124</v>
      </c>
      <c r="D36" s="1" t="s">
        <v>125</v>
      </c>
      <c r="E36" s="1">
        <v>2251243248</v>
      </c>
      <c r="F36" s="1">
        <v>18833054010</v>
      </c>
      <c r="G36" s="1" t="s">
        <v>126</v>
      </c>
      <c r="H36" s="1">
        <v>30</v>
      </c>
      <c r="I36" s="3">
        <v>27</v>
      </c>
      <c r="J36" s="1" t="str">
        <f t="shared" si="4"/>
        <v>是</v>
      </c>
      <c r="K36" s="1">
        <f t="shared" si="3"/>
        <v>216</v>
      </c>
      <c r="L36" t="s">
        <v>123</v>
      </c>
    </row>
    <row r="37" spans="1:12">
      <c r="A37" s="2"/>
      <c r="B37" s="7"/>
      <c r="C37" s="1" t="s">
        <v>127</v>
      </c>
      <c r="D37" s="1" t="s">
        <v>128</v>
      </c>
      <c r="E37" s="1">
        <v>3796359814</v>
      </c>
      <c r="F37" s="1">
        <v>15502218910</v>
      </c>
      <c r="G37" s="1" t="s">
        <v>129</v>
      </c>
      <c r="H37" s="1">
        <v>39</v>
      </c>
      <c r="I37" s="3">
        <v>33</v>
      </c>
      <c r="J37" s="1" t="str">
        <f t="shared" si="4"/>
        <v>是</v>
      </c>
      <c r="K37" s="1">
        <f t="shared" si="3"/>
        <v>264</v>
      </c>
      <c r="L37" t="s">
        <v>130</v>
      </c>
    </row>
    <row r="38" spans="1:12">
      <c r="A38" s="2"/>
      <c r="B38" s="7"/>
      <c r="C38" s="1" t="s">
        <v>131</v>
      </c>
      <c r="D38" s="4" t="s">
        <v>132</v>
      </c>
      <c r="E38" s="3">
        <v>480945264</v>
      </c>
      <c r="F38" s="3">
        <v>18711231668</v>
      </c>
      <c r="G38" s="4" t="s">
        <v>133</v>
      </c>
      <c r="H38" s="1">
        <v>39</v>
      </c>
      <c r="I38" s="3">
        <v>23</v>
      </c>
      <c r="J38" s="1" t="str">
        <f t="shared" si="4"/>
        <v>是</v>
      </c>
      <c r="K38" s="1">
        <f t="shared" si="3"/>
        <v>184</v>
      </c>
      <c r="L38" t="s">
        <v>130</v>
      </c>
    </row>
    <row r="39" spans="1:12">
      <c r="A39" s="2"/>
      <c r="B39" s="7"/>
      <c r="C39" s="1" t="s">
        <v>114</v>
      </c>
      <c r="D39" s="1" t="s">
        <v>134</v>
      </c>
      <c r="E39" s="1">
        <v>2428765394</v>
      </c>
      <c r="F39" s="1">
        <v>15097832683</v>
      </c>
      <c r="G39" s="1" t="s">
        <v>135</v>
      </c>
      <c r="H39" s="1">
        <v>40</v>
      </c>
      <c r="I39" s="1">
        <v>33</v>
      </c>
      <c r="J39" s="1" t="s">
        <v>71</v>
      </c>
      <c r="K39" s="1">
        <f t="shared" si="3"/>
        <v>264</v>
      </c>
      <c r="L39" t="s">
        <v>130</v>
      </c>
    </row>
    <row r="40" spans="1:12">
      <c r="A40" s="2"/>
      <c r="B40" s="7"/>
      <c r="C40" s="1" t="s">
        <v>118</v>
      </c>
      <c r="D40" s="1" t="s">
        <v>136</v>
      </c>
      <c r="E40" s="3">
        <v>1094164647</v>
      </c>
      <c r="F40" s="1">
        <v>18573223081</v>
      </c>
      <c r="G40" s="4" t="s">
        <v>137</v>
      </c>
      <c r="H40" s="1">
        <v>40</v>
      </c>
      <c r="I40" s="3">
        <v>34</v>
      </c>
      <c r="J40" s="1" t="str">
        <f t="shared" ref="J40:J48" si="5">IF(I40/H40&lt;0.5,"否","是")</f>
        <v>是</v>
      </c>
      <c r="K40" s="1">
        <f t="shared" si="3"/>
        <v>272</v>
      </c>
      <c r="L40" t="s">
        <v>130</v>
      </c>
    </row>
    <row r="41" spans="1:12">
      <c r="A41" s="2"/>
      <c r="B41" s="7"/>
      <c r="C41" s="1" t="s">
        <v>138</v>
      </c>
      <c r="D41" s="1" t="s">
        <v>139</v>
      </c>
      <c r="E41" s="1">
        <v>2429023907</v>
      </c>
      <c r="F41" s="1">
        <v>17897326722</v>
      </c>
      <c r="G41" s="1" t="s">
        <v>140</v>
      </c>
      <c r="H41" s="1">
        <v>38</v>
      </c>
      <c r="I41" s="1">
        <v>10</v>
      </c>
      <c r="J41" s="1" t="s">
        <v>19</v>
      </c>
      <c r="K41" s="1">
        <f t="shared" si="3"/>
        <v>80</v>
      </c>
      <c r="L41" t="s">
        <v>139</v>
      </c>
    </row>
    <row r="42" spans="1:12">
      <c r="A42" s="2" t="s">
        <v>141</v>
      </c>
      <c r="B42" s="7" t="s">
        <v>12</v>
      </c>
      <c r="C42" s="1" t="s">
        <v>142</v>
      </c>
      <c r="D42" s="1" t="s">
        <v>143</v>
      </c>
      <c r="E42" s="1">
        <v>577320391</v>
      </c>
      <c r="F42" s="1">
        <v>18773566950</v>
      </c>
      <c r="G42" s="1" t="s">
        <v>144</v>
      </c>
      <c r="H42" s="1">
        <v>30</v>
      </c>
      <c r="I42" s="3">
        <v>15</v>
      </c>
      <c r="J42" s="1" t="str">
        <f t="shared" si="5"/>
        <v>是</v>
      </c>
      <c r="K42" s="1">
        <f t="shared" si="3"/>
        <v>120</v>
      </c>
    </row>
    <row r="43" spans="1:12">
      <c r="A43" s="2"/>
      <c r="B43" s="7"/>
      <c r="C43" s="1" t="s">
        <v>145</v>
      </c>
      <c r="D43" s="1" t="s">
        <v>146</v>
      </c>
      <c r="E43" s="1">
        <v>2968169621</v>
      </c>
      <c r="F43" s="1">
        <v>15954615055</v>
      </c>
      <c r="G43" s="1" t="s">
        <v>147</v>
      </c>
      <c r="H43" s="1">
        <v>31</v>
      </c>
      <c r="I43" s="3">
        <v>2</v>
      </c>
      <c r="J43" s="1" t="str">
        <f t="shared" si="5"/>
        <v>否</v>
      </c>
      <c r="K43" s="1">
        <f t="shared" si="3"/>
        <v>16</v>
      </c>
    </row>
    <row r="44" spans="1:12">
      <c r="A44" s="2"/>
      <c r="B44" s="7"/>
      <c r="C44" s="1" t="s">
        <v>148</v>
      </c>
      <c r="D44" s="1" t="s">
        <v>117</v>
      </c>
      <c r="E44" s="1">
        <v>3026173184</v>
      </c>
      <c r="F44" s="1">
        <v>18570072301</v>
      </c>
      <c r="G44" s="1" t="s">
        <v>149</v>
      </c>
      <c r="H44" s="1">
        <v>35</v>
      </c>
      <c r="I44" s="3">
        <v>19</v>
      </c>
      <c r="J44" s="1" t="str">
        <f t="shared" si="5"/>
        <v>是</v>
      </c>
      <c r="K44" s="1">
        <f t="shared" si="3"/>
        <v>152</v>
      </c>
    </row>
    <row r="45" spans="1:12">
      <c r="A45" s="2"/>
      <c r="B45" s="7"/>
      <c r="C45" s="1" t="s">
        <v>150</v>
      </c>
      <c r="D45" s="1" t="s">
        <v>151</v>
      </c>
      <c r="E45" s="1">
        <v>2793708909</v>
      </c>
      <c r="F45" s="1">
        <v>17673398717</v>
      </c>
      <c r="G45" s="1" t="s">
        <v>152</v>
      </c>
      <c r="H45" s="1">
        <v>35</v>
      </c>
      <c r="I45" s="1">
        <v>25</v>
      </c>
      <c r="J45" s="1" t="str">
        <f t="shared" si="5"/>
        <v>是</v>
      </c>
      <c r="K45" s="1">
        <f t="shared" si="3"/>
        <v>200</v>
      </c>
      <c r="L45" t="s">
        <v>117</v>
      </c>
    </row>
    <row r="46" spans="1:12">
      <c r="A46" s="2"/>
      <c r="B46" s="7"/>
      <c r="C46" s="1" t="s">
        <v>153</v>
      </c>
      <c r="D46" s="1" t="s">
        <v>154</v>
      </c>
      <c r="E46" s="1">
        <v>3266424235</v>
      </c>
      <c r="F46" s="1">
        <v>18373621625</v>
      </c>
      <c r="G46" s="1" t="s">
        <v>155</v>
      </c>
      <c r="H46" s="1">
        <v>35</v>
      </c>
      <c r="I46" s="3">
        <v>13</v>
      </c>
      <c r="J46" s="1" t="str">
        <f t="shared" si="5"/>
        <v>否</v>
      </c>
      <c r="K46" s="1">
        <f t="shared" si="3"/>
        <v>104</v>
      </c>
    </row>
    <row r="47" spans="1:12">
      <c r="A47" s="2"/>
      <c r="B47" s="7" t="s">
        <v>20</v>
      </c>
      <c r="C47" s="1" t="s">
        <v>156</v>
      </c>
      <c r="D47" s="1" t="s">
        <v>157</v>
      </c>
      <c r="E47" s="1">
        <v>2947678084</v>
      </c>
      <c r="F47" s="1">
        <v>15526289309</v>
      </c>
      <c r="G47" s="1" t="s">
        <v>158</v>
      </c>
      <c r="H47" s="1">
        <v>40</v>
      </c>
      <c r="I47" s="3">
        <v>23</v>
      </c>
      <c r="J47" s="1" t="str">
        <f t="shared" si="5"/>
        <v>是</v>
      </c>
      <c r="K47" s="1">
        <f t="shared" si="3"/>
        <v>184</v>
      </c>
      <c r="L47" t="s">
        <v>47</v>
      </c>
    </row>
    <row r="48" spans="1:12">
      <c r="A48" s="2"/>
      <c r="B48" s="7"/>
      <c r="C48" s="1" t="s">
        <v>159</v>
      </c>
      <c r="D48" s="1" t="s">
        <v>160</v>
      </c>
      <c r="E48" s="1">
        <v>3911692608</v>
      </c>
      <c r="F48" s="1" t="s">
        <v>161</v>
      </c>
      <c r="G48" s="4" t="s">
        <v>162</v>
      </c>
      <c r="H48" s="1">
        <v>40</v>
      </c>
      <c r="I48" s="3">
        <v>22</v>
      </c>
      <c r="J48" s="1" t="str">
        <f t="shared" si="5"/>
        <v>是</v>
      </c>
      <c r="K48" s="1">
        <f t="shared" si="3"/>
        <v>176</v>
      </c>
      <c r="L48" t="s">
        <v>47</v>
      </c>
    </row>
    <row r="49" spans="1:12">
      <c r="A49" s="2"/>
      <c r="B49" s="7"/>
      <c r="C49" s="1" t="s">
        <v>163</v>
      </c>
      <c r="D49" s="1" t="s">
        <v>164</v>
      </c>
      <c r="E49" s="1">
        <v>2247934360</v>
      </c>
      <c r="F49" s="1">
        <v>17377959115</v>
      </c>
      <c r="G49" s="1" t="s">
        <v>165</v>
      </c>
      <c r="H49" s="1">
        <v>40</v>
      </c>
      <c r="I49" s="1">
        <v>26</v>
      </c>
      <c r="J49" s="1" t="s">
        <v>71</v>
      </c>
      <c r="K49" s="1">
        <f t="shared" si="3"/>
        <v>208</v>
      </c>
      <c r="L49" t="s">
        <v>166</v>
      </c>
    </row>
    <row r="50" spans="1:12">
      <c r="A50" s="2"/>
      <c r="B50" s="7"/>
      <c r="C50" s="1" t="s">
        <v>167</v>
      </c>
      <c r="D50" s="1" t="s">
        <v>168</v>
      </c>
      <c r="E50" s="1">
        <v>909927320</v>
      </c>
      <c r="F50" s="1">
        <v>13319562869</v>
      </c>
      <c r="G50" s="1" t="s">
        <v>169</v>
      </c>
      <c r="H50" s="1">
        <v>40</v>
      </c>
      <c r="I50" s="1">
        <v>31</v>
      </c>
      <c r="J50" s="1" t="s">
        <v>71</v>
      </c>
      <c r="K50" s="1">
        <f t="shared" si="3"/>
        <v>248</v>
      </c>
      <c r="L50" t="s">
        <v>166</v>
      </c>
    </row>
    <row r="51" spans="1:12">
      <c r="A51" s="2"/>
      <c r="B51" s="7"/>
      <c r="C51" s="1" t="s">
        <v>148</v>
      </c>
      <c r="D51" s="1" t="s">
        <v>170</v>
      </c>
      <c r="E51" s="1">
        <v>2236659706</v>
      </c>
      <c r="F51" s="1">
        <v>19318393341</v>
      </c>
      <c r="G51" s="1" t="s">
        <v>171</v>
      </c>
      <c r="H51" s="1">
        <v>40</v>
      </c>
      <c r="I51" s="1">
        <v>10</v>
      </c>
      <c r="J51" s="1" t="s">
        <v>19</v>
      </c>
      <c r="K51" s="1">
        <f t="shared" si="3"/>
        <v>80</v>
      </c>
      <c r="L51" t="s">
        <v>166</v>
      </c>
    </row>
    <row r="52" spans="1:12">
      <c r="A52" s="2"/>
      <c r="B52" s="7"/>
      <c r="C52" s="1" t="s">
        <v>153</v>
      </c>
      <c r="D52" s="1" t="s">
        <v>172</v>
      </c>
      <c r="E52" s="1">
        <v>1779613560</v>
      </c>
      <c r="F52" s="1">
        <v>18579508947</v>
      </c>
      <c r="G52" s="1" t="s">
        <v>173</v>
      </c>
      <c r="H52" s="1">
        <v>40</v>
      </c>
      <c r="I52" s="1">
        <v>9</v>
      </c>
      <c r="J52" s="1" t="s">
        <v>19</v>
      </c>
      <c r="K52" s="1">
        <f t="shared" si="3"/>
        <v>72</v>
      </c>
      <c r="L52" t="s">
        <v>166</v>
      </c>
    </row>
    <row r="53" spans="1:12">
      <c r="A53" s="2" t="s">
        <v>174</v>
      </c>
      <c r="B53" s="1" t="s">
        <v>175</v>
      </c>
      <c r="C53" s="1" t="s">
        <v>176</v>
      </c>
      <c r="D53" s="1" t="s">
        <v>177</v>
      </c>
      <c r="E53" s="1">
        <v>1836533605</v>
      </c>
      <c r="F53" s="1">
        <v>15523238030</v>
      </c>
      <c r="G53" s="1" t="s">
        <v>178</v>
      </c>
      <c r="H53" s="1">
        <v>36</v>
      </c>
      <c r="I53" s="1">
        <v>18</v>
      </c>
      <c r="J53" s="1" t="str">
        <f t="shared" ref="J53:J66" si="6">IF(I53/H53&lt;0.5,"否","是")</f>
        <v>是</v>
      </c>
      <c r="K53" s="1">
        <f t="shared" si="3"/>
        <v>144</v>
      </c>
    </row>
    <row r="54" spans="1:12">
      <c r="A54" s="2"/>
      <c r="B54" s="7" t="s">
        <v>12</v>
      </c>
      <c r="C54" s="1" t="s">
        <v>179</v>
      </c>
      <c r="D54" s="1" t="s">
        <v>180</v>
      </c>
      <c r="E54" s="1">
        <v>2549791301</v>
      </c>
      <c r="F54" s="1">
        <v>18678596204</v>
      </c>
      <c r="G54" s="1" t="s">
        <v>181</v>
      </c>
      <c r="H54" s="1">
        <v>34</v>
      </c>
      <c r="I54" s="1">
        <v>3</v>
      </c>
      <c r="J54" s="1" t="str">
        <f t="shared" si="6"/>
        <v>否</v>
      </c>
      <c r="K54" s="1">
        <f t="shared" si="3"/>
        <v>24</v>
      </c>
    </row>
    <row r="55" spans="1:12">
      <c r="A55" s="2"/>
      <c r="B55" s="7"/>
      <c r="C55" s="1" t="s">
        <v>182</v>
      </c>
      <c r="D55" s="1" t="s">
        <v>183</v>
      </c>
      <c r="E55" s="1">
        <v>1781997931</v>
      </c>
      <c r="F55" s="1">
        <v>15273283620</v>
      </c>
      <c r="G55" s="1" t="s">
        <v>184</v>
      </c>
      <c r="H55" s="1">
        <v>30</v>
      </c>
      <c r="I55" s="1">
        <v>18</v>
      </c>
      <c r="J55" s="1" t="s">
        <v>71</v>
      </c>
      <c r="K55" s="1">
        <f t="shared" si="3"/>
        <v>144</v>
      </c>
    </row>
    <row r="56" spans="1:12">
      <c r="A56" s="2"/>
      <c r="B56" s="7" t="s">
        <v>20</v>
      </c>
      <c r="C56" s="1" t="s">
        <v>185</v>
      </c>
      <c r="D56" s="1" t="s">
        <v>186</v>
      </c>
      <c r="E56" s="1">
        <v>177191828</v>
      </c>
      <c r="F56" s="1">
        <v>13367487585</v>
      </c>
      <c r="G56" s="1" t="s">
        <v>187</v>
      </c>
      <c r="H56" s="1">
        <v>36</v>
      </c>
      <c r="I56" s="3">
        <v>36</v>
      </c>
      <c r="J56" s="1" t="str">
        <f t="shared" si="6"/>
        <v>是</v>
      </c>
      <c r="K56" s="1">
        <f t="shared" si="3"/>
        <v>288</v>
      </c>
      <c r="L56" t="s">
        <v>188</v>
      </c>
    </row>
    <row r="57" spans="1:12">
      <c r="A57" s="2"/>
      <c r="B57" s="7"/>
      <c r="C57" s="1" t="s">
        <v>189</v>
      </c>
      <c r="D57" s="1" t="s">
        <v>190</v>
      </c>
      <c r="E57" s="1">
        <v>1135047439</v>
      </c>
      <c r="F57" s="1">
        <v>18174610648</v>
      </c>
      <c r="G57" s="1" t="s">
        <v>191</v>
      </c>
      <c r="H57" s="1">
        <v>36</v>
      </c>
      <c r="I57" s="3">
        <v>30</v>
      </c>
      <c r="J57" s="1" t="str">
        <f t="shared" si="6"/>
        <v>是</v>
      </c>
      <c r="K57" s="1">
        <f t="shared" si="3"/>
        <v>240</v>
      </c>
      <c r="L57" t="s">
        <v>188</v>
      </c>
    </row>
    <row r="58" spans="1:12">
      <c r="A58" s="2"/>
      <c r="B58" s="7"/>
      <c r="C58" s="1" t="s">
        <v>192</v>
      </c>
      <c r="D58" s="1" t="s">
        <v>193</v>
      </c>
      <c r="E58" s="1">
        <v>3460107356</v>
      </c>
      <c r="F58" s="1">
        <v>19896370338</v>
      </c>
      <c r="G58" s="1" t="s">
        <v>40</v>
      </c>
      <c r="H58" s="1">
        <v>36</v>
      </c>
      <c r="I58" s="3">
        <v>36</v>
      </c>
      <c r="J58" s="1" t="str">
        <f t="shared" si="6"/>
        <v>是</v>
      </c>
      <c r="K58" s="1">
        <f t="shared" si="3"/>
        <v>288</v>
      </c>
      <c r="L58" t="s">
        <v>188</v>
      </c>
    </row>
    <row r="59" spans="1:12">
      <c r="A59" s="2"/>
      <c r="B59" s="7"/>
      <c r="C59" s="1" t="s">
        <v>194</v>
      </c>
      <c r="D59" s="1" t="s">
        <v>195</v>
      </c>
      <c r="E59" s="1">
        <v>3321604766</v>
      </c>
      <c r="F59" s="1">
        <v>13012162335</v>
      </c>
      <c r="G59" s="1" t="s">
        <v>40</v>
      </c>
      <c r="H59" s="1">
        <v>36</v>
      </c>
      <c r="I59" s="3">
        <v>29</v>
      </c>
      <c r="J59" s="1" t="str">
        <f t="shared" si="6"/>
        <v>是</v>
      </c>
      <c r="K59" s="1">
        <f t="shared" si="3"/>
        <v>232</v>
      </c>
      <c r="L59" t="s">
        <v>188</v>
      </c>
    </row>
    <row r="60" spans="1:12">
      <c r="A60" s="2"/>
      <c r="B60" s="7"/>
      <c r="C60" s="1" t="s">
        <v>176</v>
      </c>
      <c r="D60" s="1" t="s">
        <v>196</v>
      </c>
      <c r="E60" s="1">
        <v>3566227305</v>
      </c>
      <c r="F60" s="1">
        <v>15723037458</v>
      </c>
      <c r="G60" s="1" t="s">
        <v>191</v>
      </c>
      <c r="H60" s="1">
        <v>37</v>
      </c>
      <c r="I60" s="3">
        <v>36</v>
      </c>
      <c r="J60" s="1" t="str">
        <f t="shared" si="6"/>
        <v>是</v>
      </c>
      <c r="K60" s="1">
        <f t="shared" si="3"/>
        <v>288</v>
      </c>
      <c r="L60" t="s">
        <v>188</v>
      </c>
    </row>
    <row r="61" spans="1:12">
      <c r="A61" s="2"/>
      <c r="B61" s="7"/>
      <c r="C61" s="1" t="s">
        <v>179</v>
      </c>
      <c r="D61" s="1" t="s">
        <v>197</v>
      </c>
      <c r="E61" s="1">
        <v>341078365</v>
      </c>
      <c r="F61" s="1">
        <v>13230029310</v>
      </c>
      <c r="G61" s="1" t="s">
        <v>198</v>
      </c>
      <c r="H61" s="1">
        <v>36</v>
      </c>
      <c r="I61" s="3">
        <v>2</v>
      </c>
      <c r="J61" s="1" t="str">
        <f t="shared" si="6"/>
        <v>否</v>
      </c>
      <c r="K61" s="1">
        <f t="shared" si="3"/>
        <v>16</v>
      </c>
      <c r="L61" t="s">
        <v>188</v>
      </c>
    </row>
    <row r="62" spans="1:12">
      <c r="A62" s="2"/>
      <c r="B62" s="7"/>
      <c r="C62" s="1" t="s">
        <v>199</v>
      </c>
      <c r="D62" s="1" t="s">
        <v>200</v>
      </c>
      <c r="E62" s="1">
        <v>3922687918</v>
      </c>
      <c r="F62" s="1">
        <v>17680262023</v>
      </c>
      <c r="G62" s="1" t="s">
        <v>191</v>
      </c>
      <c r="H62" s="1">
        <v>37</v>
      </c>
      <c r="I62" s="1">
        <v>35</v>
      </c>
      <c r="J62" s="1" t="str">
        <f t="shared" si="6"/>
        <v>是</v>
      </c>
      <c r="K62" s="1">
        <f t="shared" si="3"/>
        <v>280</v>
      </c>
      <c r="L62" t="s">
        <v>188</v>
      </c>
    </row>
    <row r="63" spans="1:12">
      <c r="A63" s="2"/>
      <c r="B63" s="7"/>
      <c r="C63" s="1" t="s">
        <v>201</v>
      </c>
      <c r="D63" s="1" t="s">
        <v>202</v>
      </c>
      <c r="E63" s="1">
        <v>3398288412</v>
      </c>
      <c r="F63" s="1">
        <v>18774087712</v>
      </c>
      <c r="G63" s="1" t="s">
        <v>203</v>
      </c>
      <c r="H63" s="1">
        <v>30</v>
      </c>
      <c r="I63" s="3">
        <v>11</v>
      </c>
      <c r="J63" s="1" t="str">
        <f t="shared" si="6"/>
        <v>否</v>
      </c>
      <c r="K63" s="1">
        <f t="shared" si="3"/>
        <v>88</v>
      </c>
      <c r="L63" t="s">
        <v>188</v>
      </c>
    </row>
    <row r="64" spans="1:12">
      <c r="A64" s="2"/>
      <c r="B64" s="7"/>
      <c r="C64" s="1" t="s">
        <v>204</v>
      </c>
      <c r="D64" s="1" t="s">
        <v>205</v>
      </c>
      <c r="E64" s="1">
        <v>2927173415</v>
      </c>
      <c r="F64" s="1">
        <v>13667433639</v>
      </c>
      <c r="G64" s="1" t="s">
        <v>191</v>
      </c>
      <c r="H64" s="1">
        <v>37</v>
      </c>
      <c r="I64" s="1">
        <v>18</v>
      </c>
      <c r="J64" s="1" t="str">
        <f t="shared" si="6"/>
        <v>否</v>
      </c>
      <c r="K64" s="1">
        <f t="shared" si="3"/>
        <v>144</v>
      </c>
      <c r="L64" t="s">
        <v>188</v>
      </c>
    </row>
    <row r="65" spans="1:12">
      <c r="A65" s="2"/>
      <c r="B65" s="7"/>
      <c r="C65" s="1" t="s">
        <v>206</v>
      </c>
      <c r="D65" s="1" t="s">
        <v>207</v>
      </c>
      <c r="E65" s="1">
        <v>2824515495</v>
      </c>
      <c r="F65" s="1">
        <v>19397825471</v>
      </c>
      <c r="G65" s="1" t="s">
        <v>191</v>
      </c>
      <c r="H65" s="1">
        <v>36</v>
      </c>
      <c r="I65" s="3">
        <v>23</v>
      </c>
      <c r="J65" s="1" t="str">
        <f t="shared" si="6"/>
        <v>是</v>
      </c>
      <c r="K65" s="1">
        <f t="shared" si="3"/>
        <v>184</v>
      </c>
      <c r="L65" t="s">
        <v>188</v>
      </c>
    </row>
    <row r="66" spans="1:12">
      <c r="A66" s="2" t="s">
        <v>208</v>
      </c>
      <c r="B66" s="1" t="s">
        <v>12</v>
      </c>
      <c r="C66" s="1" t="s">
        <v>209</v>
      </c>
      <c r="D66" s="1" t="s">
        <v>210</v>
      </c>
      <c r="E66" s="1">
        <v>2948460056</v>
      </c>
      <c r="F66" s="1">
        <v>13786454420</v>
      </c>
      <c r="G66" s="1" t="s">
        <v>211</v>
      </c>
      <c r="H66" s="1">
        <v>31</v>
      </c>
      <c r="I66" s="3">
        <v>31</v>
      </c>
      <c r="J66" s="1" t="str">
        <f t="shared" si="6"/>
        <v>是</v>
      </c>
      <c r="K66" s="1">
        <f t="shared" si="3"/>
        <v>248</v>
      </c>
    </row>
    <row r="67" spans="1:12">
      <c r="A67" s="2"/>
      <c r="B67" s="7" t="s">
        <v>20</v>
      </c>
      <c r="C67" s="1" t="s">
        <v>212</v>
      </c>
      <c r="D67" s="1" t="s">
        <v>213</v>
      </c>
      <c r="E67" s="1">
        <v>2584981348</v>
      </c>
      <c r="F67" s="1">
        <v>18874488322</v>
      </c>
      <c r="G67" s="1" t="s">
        <v>214</v>
      </c>
      <c r="H67" s="1">
        <v>39</v>
      </c>
      <c r="I67" s="1">
        <v>8</v>
      </c>
      <c r="J67" s="1" t="s">
        <v>19</v>
      </c>
      <c r="K67" s="1">
        <f t="shared" si="3"/>
        <v>64</v>
      </c>
      <c r="L67" t="s">
        <v>166</v>
      </c>
    </row>
    <row r="68" spans="1:12">
      <c r="A68" s="2"/>
      <c r="B68" s="7"/>
      <c r="C68" s="1" t="s">
        <v>215</v>
      </c>
      <c r="D68" s="1" t="s">
        <v>216</v>
      </c>
      <c r="E68" s="1">
        <v>3272554585</v>
      </c>
      <c r="F68" s="1">
        <v>19932059854</v>
      </c>
      <c r="G68" s="1" t="s">
        <v>217</v>
      </c>
      <c r="H68" s="1">
        <v>39</v>
      </c>
      <c r="I68" s="1">
        <v>6</v>
      </c>
      <c r="J68" s="1" t="s">
        <v>19</v>
      </c>
      <c r="K68" s="1">
        <f t="shared" si="3"/>
        <v>48</v>
      </c>
      <c r="L68" t="s">
        <v>166</v>
      </c>
    </row>
    <row r="69" spans="1:12">
      <c r="A69" s="2" t="s">
        <v>218</v>
      </c>
      <c r="B69" s="7" t="s">
        <v>107</v>
      </c>
      <c r="C69" s="1" t="s">
        <v>219</v>
      </c>
      <c r="D69" s="1" t="s">
        <v>220</v>
      </c>
      <c r="E69" s="1">
        <v>3426059244</v>
      </c>
      <c r="F69" s="1">
        <v>16670801837</v>
      </c>
      <c r="G69" s="1" t="s">
        <v>221</v>
      </c>
      <c r="H69" s="1">
        <v>30</v>
      </c>
      <c r="I69" s="3">
        <v>30</v>
      </c>
      <c r="J69" s="1" t="str">
        <f t="shared" ref="J69:J74" si="7">IF(I69/H69&lt;0.5,"否","是")</f>
        <v>是</v>
      </c>
      <c r="K69" s="1">
        <f t="shared" si="3"/>
        <v>240</v>
      </c>
      <c r="L69" t="s">
        <v>222</v>
      </c>
    </row>
    <row r="70" spans="1:12">
      <c r="A70" s="2"/>
      <c r="B70" s="7"/>
      <c r="C70" s="1" t="s">
        <v>223</v>
      </c>
      <c r="D70" s="1" t="s">
        <v>224</v>
      </c>
      <c r="E70" s="1">
        <v>2452406105</v>
      </c>
      <c r="F70" s="1">
        <v>19187713937</v>
      </c>
      <c r="G70" s="1" t="s">
        <v>225</v>
      </c>
      <c r="H70" s="1">
        <v>38</v>
      </c>
      <c r="I70" s="1">
        <v>26</v>
      </c>
      <c r="J70" s="1" t="str">
        <f t="shared" si="7"/>
        <v>是</v>
      </c>
      <c r="K70" s="1">
        <f t="shared" si="3"/>
        <v>208</v>
      </c>
      <c r="L70" t="s">
        <v>222</v>
      </c>
    </row>
    <row r="71" spans="1:12">
      <c r="A71" s="2"/>
      <c r="B71" s="7" t="s">
        <v>12</v>
      </c>
      <c r="C71" s="1" t="s">
        <v>226</v>
      </c>
      <c r="D71" s="1" t="s">
        <v>227</v>
      </c>
      <c r="E71" s="1">
        <v>2633393552</v>
      </c>
      <c r="F71" s="1">
        <v>18673257367</v>
      </c>
      <c r="G71" s="1" t="s">
        <v>228</v>
      </c>
      <c r="H71" s="1">
        <v>36</v>
      </c>
      <c r="I71" s="1">
        <v>15</v>
      </c>
      <c r="J71" s="1" t="str">
        <f t="shared" si="7"/>
        <v>否</v>
      </c>
      <c r="K71" s="1">
        <f t="shared" si="3"/>
        <v>120</v>
      </c>
      <c r="L71" t="s">
        <v>117</v>
      </c>
    </row>
    <row r="72" spans="1:12">
      <c r="A72" s="2"/>
      <c r="B72" s="7"/>
      <c r="C72" s="1" t="s">
        <v>229</v>
      </c>
      <c r="D72" s="1" t="s">
        <v>230</v>
      </c>
      <c r="E72" s="1">
        <v>1748682871</v>
      </c>
      <c r="F72" s="1">
        <v>19083219015</v>
      </c>
      <c r="G72" s="1" t="s">
        <v>231</v>
      </c>
      <c r="H72" s="1">
        <v>29</v>
      </c>
      <c r="I72" s="3">
        <v>3</v>
      </c>
      <c r="J72" s="1" t="str">
        <f t="shared" si="7"/>
        <v>否</v>
      </c>
      <c r="K72" s="1">
        <f t="shared" si="3"/>
        <v>24</v>
      </c>
      <c r="L72" t="s">
        <v>117</v>
      </c>
    </row>
    <row r="73" spans="1:12">
      <c r="A73" s="2"/>
      <c r="B73" s="7"/>
      <c r="C73" s="1" t="s">
        <v>232</v>
      </c>
      <c r="D73" s="1" t="s">
        <v>233</v>
      </c>
      <c r="E73" s="1">
        <v>2737862880</v>
      </c>
      <c r="F73" s="1">
        <v>19314415999</v>
      </c>
      <c r="G73" s="1" t="s">
        <v>234</v>
      </c>
      <c r="H73" s="1">
        <v>45</v>
      </c>
      <c r="I73" s="1">
        <v>6</v>
      </c>
      <c r="J73" s="1" t="str">
        <f t="shared" si="7"/>
        <v>否</v>
      </c>
      <c r="K73" s="1">
        <f t="shared" ref="K73:K87" si="8">I73*8</f>
        <v>48</v>
      </c>
      <c r="L73" t="s">
        <v>117</v>
      </c>
    </row>
    <row r="74" spans="1:12">
      <c r="A74" s="2"/>
      <c r="B74" s="7"/>
      <c r="C74" s="1" t="s">
        <v>235</v>
      </c>
      <c r="D74" s="1" t="s">
        <v>236</v>
      </c>
      <c r="E74" s="1">
        <v>213038441</v>
      </c>
      <c r="F74" s="1">
        <v>19083200985</v>
      </c>
      <c r="G74" s="1" t="s">
        <v>237</v>
      </c>
      <c r="H74" s="1">
        <v>46</v>
      </c>
      <c r="I74" s="1">
        <v>23</v>
      </c>
      <c r="J74" s="1" t="str">
        <f t="shared" si="7"/>
        <v>是</v>
      </c>
      <c r="K74" s="1">
        <f t="shared" si="8"/>
        <v>184</v>
      </c>
      <c r="L74" t="s">
        <v>117</v>
      </c>
    </row>
    <row r="75" spans="1:12">
      <c r="A75" s="2"/>
      <c r="B75" s="7" t="s">
        <v>20</v>
      </c>
      <c r="C75" s="1" t="s">
        <v>238</v>
      </c>
      <c r="D75" s="1" t="s">
        <v>239</v>
      </c>
      <c r="E75" s="1">
        <v>1096323849</v>
      </c>
      <c r="F75" s="1">
        <v>17891077235</v>
      </c>
      <c r="G75" s="1" t="s">
        <v>240</v>
      </c>
      <c r="H75" s="1">
        <v>40</v>
      </c>
      <c r="I75" s="1">
        <v>32</v>
      </c>
      <c r="J75" s="1" t="s">
        <v>71</v>
      </c>
      <c r="K75" s="1">
        <f t="shared" si="8"/>
        <v>256</v>
      </c>
      <c r="L75" t="s">
        <v>117</v>
      </c>
    </row>
    <row r="76" spans="1:12">
      <c r="A76" s="2"/>
      <c r="B76" s="7"/>
      <c r="C76" s="1" t="s">
        <v>241</v>
      </c>
      <c r="D76" s="1" t="s">
        <v>242</v>
      </c>
      <c r="E76" s="1">
        <v>2758656997</v>
      </c>
      <c r="F76" s="1">
        <v>13612095414</v>
      </c>
      <c r="G76" s="1" t="s">
        <v>214</v>
      </c>
      <c r="H76" s="1">
        <v>41</v>
      </c>
      <c r="I76" s="1">
        <v>32</v>
      </c>
      <c r="J76" s="1" t="s">
        <v>71</v>
      </c>
      <c r="K76" s="1">
        <f t="shared" si="8"/>
        <v>256</v>
      </c>
      <c r="L76" t="s">
        <v>117</v>
      </c>
    </row>
    <row r="77" spans="1:12">
      <c r="A77" s="2" t="s">
        <v>243</v>
      </c>
      <c r="B77" s="7" t="s">
        <v>107</v>
      </c>
      <c r="C77" s="1" t="s">
        <v>244</v>
      </c>
      <c r="D77" s="1" t="s">
        <v>245</v>
      </c>
      <c r="E77" s="1">
        <v>2744650425</v>
      </c>
      <c r="F77" s="1">
        <v>18674840795</v>
      </c>
      <c r="G77" s="1" t="s">
        <v>246</v>
      </c>
      <c r="H77" s="1">
        <v>35</v>
      </c>
      <c r="I77" s="1">
        <v>19</v>
      </c>
      <c r="J77" s="1" t="s">
        <v>71</v>
      </c>
      <c r="K77" s="1">
        <f t="shared" si="8"/>
        <v>152</v>
      </c>
    </row>
    <row r="78" spans="1:12">
      <c r="A78" s="2"/>
      <c r="B78" s="7"/>
      <c r="C78" s="1" t="s">
        <v>247</v>
      </c>
      <c r="D78" s="1" t="s">
        <v>248</v>
      </c>
      <c r="E78" s="1">
        <v>799320941</v>
      </c>
      <c r="F78" s="1">
        <v>17331124329</v>
      </c>
      <c r="G78" s="1" t="s">
        <v>249</v>
      </c>
      <c r="H78" s="1">
        <v>37</v>
      </c>
      <c r="I78" s="1">
        <v>37</v>
      </c>
      <c r="J78" s="1" t="s">
        <v>71</v>
      </c>
      <c r="K78" s="1">
        <f t="shared" si="8"/>
        <v>296</v>
      </c>
    </row>
    <row r="79" spans="1:12">
      <c r="A79" s="2"/>
      <c r="B79" s="7" t="s">
        <v>12</v>
      </c>
      <c r="C79" s="1" t="s">
        <v>250</v>
      </c>
      <c r="D79" s="1" t="s">
        <v>251</v>
      </c>
      <c r="E79" s="1">
        <v>2672636978</v>
      </c>
      <c r="F79" s="1">
        <v>13243667806</v>
      </c>
      <c r="G79" s="1" t="s">
        <v>252</v>
      </c>
      <c r="H79" s="1">
        <v>42</v>
      </c>
      <c r="I79" s="1">
        <v>21</v>
      </c>
      <c r="J79" s="1" t="s">
        <v>71</v>
      </c>
      <c r="K79" s="1">
        <f t="shared" si="8"/>
        <v>168</v>
      </c>
    </row>
    <row r="80" spans="1:12">
      <c r="A80" s="2"/>
      <c r="B80" s="7"/>
      <c r="C80" s="1" t="s">
        <v>253</v>
      </c>
      <c r="D80" s="1" t="s">
        <v>254</v>
      </c>
      <c r="E80" s="1">
        <v>2127180295</v>
      </c>
      <c r="F80" s="1">
        <v>18692619102</v>
      </c>
      <c r="G80" s="1" t="s">
        <v>231</v>
      </c>
      <c r="H80" s="1">
        <v>39</v>
      </c>
      <c r="I80" s="1">
        <v>39</v>
      </c>
      <c r="J80" s="1" t="s">
        <v>71</v>
      </c>
      <c r="K80" s="1">
        <f t="shared" si="8"/>
        <v>312</v>
      </c>
    </row>
    <row r="81" spans="1:12">
      <c r="A81" s="2"/>
      <c r="B81" s="7"/>
      <c r="C81" s="1" t="s">
        <v>255</v>
      </c>
      <c r="D81" s="1" t="s">
        <v>256</v>
      </c>
      <c r="E81" s="1">
        <v>3152526408</v>
      </c>
      <c r="F81" s="1">
        <v>13468527044</v>
      </c>
      <c r="G81" s="1" t="s">
        <v>257</v>
      </c>
      <c r="H81" s="1">
        <v>40</v>
      </c>
      <c r="I81" s="1">
        <v>23</v>
      </c>
      <c r="J81" s="1" t="s">
        <v>71</v>
      </c>
      <c r="K81" s="1">
        <f t="shared" si="8"/>
        <v>184</v>
      </c>
    </row>
    <row r="82" spans="1:12">
      <c r="A82" s="2"/>
      <c r="B82" s="7"/>
      <c r="C82" s="1" t="s">
        <v>258</v>
      </c>
      <c r="D82" s="1" t="s">
        <v>259</v>
      </c>
      <c r="E82" s="1">
        <v>3030005482</v>
      </c>
      <c r="F82" s="1">
        <v>16630823058</v>
      </c>
      <c r="G82" s="1" t="s">
        <v>260</v>
      </c>
      <c r="H82" s="1">
        <v>39</v>
      </c>
      <c r="I82" s="1">
        <v>31</v>
      </c>
      <c r="J82" s="1" t="str">
        <f t="shared" ref="J82:J87" si="9">IF(I82/H82&lt;0.5,"否","是")</f>
        <v>是</v>
      </c>
      <c r="K82" s="1">
        <f t="shared" si="8"/>
        <v>248</v>
      </c>
    </row>
    <row r="83" spans="1:12">
      <c r="A83" s="2"/>
      <c r="B83" s="7"/>
      <c r="C83" s="1" t="s">
        <v>261</v>
      </c>
      <c r="D83" s="1" t="s">
        <v>262</v>
      </c>
      <c r="E83" s="1">
        <v>1580622756</v>
      </c>
      <c r="F83" s="1">
        <v>16681590426</v>
      </c>
      <c r="G83" s="1" t="s">
        <v>263</v>
      </c>
      <c r="H83" s="1">
        <v>40</v>
      </c>
      <c r="I83" s="1">
        <v>40</v>
      </c>
      <c r="J83" s="1" t="str">
        <f t="shared" si="9"/>
        <v>是</v>
      </c>
      <c r="K83" s="1">
        <f t="shared" si="8"/>
        <v>320</v>
      </c>
    </row>
    <row r="84" spans="1:12">
      <c r="A84" s="2"/>
      <c r="B84" s="7"/>
      <c r="C84" s="1" t="s">
        <v>264</v>
      </c>
      <c r="D84" s="1" t="s">
        <v>76</v>
      </c>
      <c r="E84" s="1">
        <v>1593386642</v>
      </c>
      <c r="F84" s="1">
        <v>16682582595</v>
      </c>
      <c r="G84" s="1" t="s">
        <v>265</v>
      </c>
      <c r="H84" s="1">
        <v>39</v>
      </c>
      <c r="I84" s="1">
        <v>29</v>
      </c>
      <c r="J84" s="1" t="str">
        <f t="shared" si="9"/>
        <v>是</v>
      </c>
      <c r="K84" s="1">
        <f t="shared" si="8"/>
        <v>232</v>
      </c>
    </row>
    <row r="85" spans="1:12">
      <c r="A85" s="2"/>
      <c r="B85" s="7" t="s">
        <v>20</v>
      </c>
      <c r="C85" s="1" t="s">
        <v>250</v>
      </c>
      <c r="D85" s="1" t="s">
        <v>266</v>
      </c>
      <c r="E85" s="1">
        <v>1987724589</v>
      </c>
      <c r="F85" s="1">
        <v>19021667380</v>
      </c>
      <c r="G85" s="1" t="s">
        <v>267</v>
      </c>
      <c r="H85" s="1">
        <v>38</v>
      </c>
      <c r="I85" s="3">
        <v>38</v>
      </c>
      <c r="J85" s="1" t="str">
        <f t="shared" si="9"/>
        <v>是</v>
      </c>
      <c r="K85" s="1">
        <f t="shared" si="8"/>
        <v>304</v>
      </c>
      <c r="L85" t="s">
        <v>268</v>
      </c>
    </row>
    <row r="86" spans="1:12">
      <c r="A86" s="2"/>
      <c r="B86" s="7"/>
      <c r="C86" s="1" t="s">
        <v>244</v>
      </c>
      <c r="D86" s="1" t="s">
        <v>269</v>
      </c>
      <c r="E86" s="1">
        <v>2749900411</v>
      </c>
      <c r="F86" s="1">
        <v>17267341055</v>
      </c>
      <c r="G86" s="1" t="s">
        <v>270</v>
      </c>
      <c r="H86" s="1">
        <v>37</v>
      </c>
      <c r="I86" s="3">
        <v>37</v>
      </c>
      <c r="J86" s="1" t="str">
        <f t="shared" si="9"/>
        <v>是</v>
      </c>
      <c r="K86" s="1">
        <f t="shared" si="8"/>
        <v>296</v>
      </c>
      <c r="L86" t="s">
        <v>268</v>
      </c>
    </row>
    <row r="87" spans="1:12">
      <c r="A87" s="2"/>
      <c r="B87" s="7"/>
      <c r="C87" s="1" t="s">
        <v>247</v>
      </c>
      <c r="D87" s="1" t="s">
        <v>271</v>
      </c>
      <c r="E87" s="1">
        <v>3804936901</v>
      </c>
      <c r="F87" s="1">
        <v>18867386796</v>
      </c>
      <c r="G87" s="1" t="s">
        <v>26</v>
      </c>
      <c r="H87" s="1">
        <v>36</v>
      </c>
      <c r="I87" s="3">
        <v>36</v>
      </c>
      <c r="J87" s="1" t="str">
        <f t="shared" si="9"/>
        <v>是</v>
      </c>
      <c r="K87" s="1">
        <f t="shared" si="8"/>
        <v>288</v>
      </c>
      <c r="L87" t="s">
        <v>268</v>
      </c>
    </row>
    <row r="88" spans="1:12">
      <c r="A88" s="2"/>
      <c r="B88" s="7"/>
      <c r="C88" s="1" t="s">
        <v>272</v>
      </c>
      <c r="D88" s="1" t="s">
        <v>273</v>
      </c>
      <c r="E88" s="1">
        <v>2783154807</v>
      </c>
      <c r="F88" s="1"/>
      <c r="G88" s="1" t="s">
        <v>274</v>
      </c>
      <c r="H88" s="1">
        <v>37</v>
      </c>
      <c r="I88" s="3">
        <v>29</v>
      </c>
      <c r="J88" s="1" t="s">
        <v>71</v>
      </c>
      <c r="K88" s="1">
        <f>29*8</f>
        <v>232</v>
      </c>
      <c r="L88" t="s">
        <v>268</v>
      </c>
    </row>
    <row r="89" spans="1:12">
      <c r="A89" s="2"/>
      <c r="B89" s="7"/>
      <c r="C89" s="1" t="s">
        <v>255</v>
      </c>
      <c r="D89" s="1" t="s">
        <v>275</v>
      </c>
      <c r="E89" s="1">
        <v>957508604</v>
      </c>
      <c r="F89" s="1">
        <v>18029424867</v>
      </c>
      <c r="G89" s="1" t="s">
        <v>276</v>
      </c>
      <c r="H89" s="1">
        <v>36</v>
      </c>
      <c r="I89" s="3">
        <v>35</v>
      </c>
      <c r="J89" s="1" t="str">
        <f t="shared" ref="J89:J98" si="10">IF(I89/H89&lt;0.5,"否","是")</f>
        <v>是</v>
      </c>
      <c r="K89" s="1">
        <f t="shared" ref="K89:K137" si="11">I89*8</f>
        <v>280</v>
      </c>
      <c r="L89" t="s">
        <v>268</v>
      </c>
    </row>
    <row r="90" spans="1:12">
      <c r="A90" s="2"/>
      <c r="B90" s="7"/>
      <c r="C90" s="1" t="s">
        <v>277</v>
      </c>
      <c r="D90" s="1" t="s">
        <v>278</v>
      </c>
      <c r="E90" s="1">
        <v>3434626179</v>
      </c>
      <c r="F90" s="1">
        <v>19379618492</v>
      </c>
      <c r="G90" s="1" t="s">
        <v>279</v>
      </c>
      <c r="H90" s="1">
        <v>36</v>
      </c>
      <c r="I90" s="3">
        <v>36</v>
      </c>
      <c r="J90" s="1" t="str">
        <f t="shared" si="10"/>
        <v>是</v>
      </c>
      <c r="K90" s="1">
        <f t="shared" si="11"/>
        <v>288</v>
      </c>
      <c r="L90" t="s">
        <v>268</v>
      </c>
    </row>
    <row r="91" spans="1:12">
      <c r="A91" s="2"/>
      <c r="B91" s="7"/>
      <c r="C91" s="1" t="s">
        <v>258</v>
      </c>
      <c r="D91" s="1" t="s">
        <v>280</v>
      </c>
      <c r="E91" s="1">
        <v>1622192088</v>
      </c>
      <c r="F91" s="1">
        <v>19173948935</v>
      </c>
      <c r="G91" s="1" t="s">
        <v>281</v>
      </c>
      <c r="H91" s="1">
        <v>36</v>
      </c>
      <c r="I91" s="3">
        <v>28</v>
      </c>
      <c r="J91" s="1" t="str">
        <f t="shared" si="10"/>
        <v>是</v>
      </c>
      <c r="K91" s="1">
        <f t="shared" si="11"/>
        <v>224</v>
      </c>
      <c r="L91" t="s">
        <v>268</v>
      </c>
    </row>
    <row r="92" spans="1:12">
      <c r="A92" s="2"/>
      <c r="B92" s="7"/>
      <c r="C92" s="1" t="s">
        <v>282</v>
      </c>
      <c r="D92" s="1" t="s">
        <v>283</v>
      </c>
      <c r="E92" s="1">
        <v>3135939406</v>
      </c>
      <c r="F92" s="1">
        <v>15973801878</v>
      </c>
      <c r="G92" s="1" t="s">
        <v>284</v>
      </c>
      <c r="H92" s="1">
        <v>35</v>
      </c>
      <c r="I92" s="3">
        <v>29</v>
      </c>
      <c r="J92" s="1" t="str">
        <f t="shared" si="10"/>
        <v>是</v>
      </c>
      <c r="K92" s="1">
        <f t="shared" si="11"/>
        <v>232</v>
      </c>
      <c r="L92" t="s">
        <v>268</v>
      </c>
    </row>
    <row r="93" spans="1:12">
      <c r="A93" s="2"/>
      <c r="B93" s="7"/>
      <c r="C93" s="1" t="s">
        <v>261</v>
      </c>
      <c r="D93" s="1" t="s">
        <v>285</v>
      </c>
      <c r="E93" s="1">
        <v>2030541968</v>
      </c>
      <c r="F93" s="1">
        <v>18273849695</v>
      </c>
      <c r="G93" s="1" t="s">
        <v>286</v>
      </c>
      <c r="H93" s="1">
        <v>37</v>
      </c>
      <c r="I93" s="3">
        <v>37</v>
      </c>
      <c r="J93" s="1" t="str">
        <f t="shared" si="10"/>
        <v>是</v>
      </c>
      <c r="K93" s="1">
        <f t="shared" si="11"/>
        <v>296</v>
      </c>
      <c r="L93" t="s">
        <v>268</v>
      </c>
    </row>
    <row r="94" spans="1:12">
      <c r="A94" s="2"/>
      <c r="B94" s="7"/>
      <c r="C94" s="1" t="s">
        <v>287</v>
      </c>
      <c r="D94" s="1" t="s">
        <v>288</v>
      </c>
      <c r="E94" s="1">
        <v>3279619782</v>
      </c>
      <c r="F94" s="1">
        <v>13138190430</v>
      </c>
      <c r="G94" s="1" t="s">
        <v>274</v>
      </c>
      <c r="H94" s="1">
        <v>37</v>
      </c>
      <c r="I94" s="3">
        <v>30</v>
      </c>
      <c r="J94" s="1" t="str">
        <f t="shared" si="10"/>
        <v>是</v>
      </c>
      <c r="K94" s="1">
        <f t="shared" si="11"/>
        <v>240</v>
      </c>
      <c r="L94" t="s">
        <v>268</v>
      </c>
    </row>
    <row r="95" spans="1:12">
      <c r="A95" s="2"/>
      <c r="B95" s="7"/>
      <c r="C95" s="1" t="s">
        <v>264</v>
      </c>
      <c r="D95" s="1" t="s">
        <v>289</v>
      </c>
      <c r="E95" s="1">
        <v>1077463238</v>
      </c>
      <c r="F95" s="1">
        <v>19974780561</v>
      </c>
      <c r="G95" s="1" t="s">
        <v>290</v>
      </c>
      <c r="H95" s="1">
        <v>34</v>
      </c>
      <c r="I95" s="1">
        <v>30</v>
      </c>
      <c r="J95" s="1" t="str">
        <f t="shared" si="10"/>
        <v>是</v>
      </c>
      <c r="K95" s="1">
        <f t="shared" si="11"/>
        <v>240</v>
      </c>
      <c r="L95" t="s">
        <v>268</v>
      </c>
    </row>
    <row r="96" spans="1:12">
      <c r="A96" s="2"/>
      <c r="B96" s="7"/>
      <c r="C96" s="1" t="s">
        <v>291</v>
      </c>
      <c r="D96" s="1" t="s">
        <v>292</v>
      </c>
      <c r="E96" s="1">
        <v>3586283939</v>
      </c>
      <c r="F96" s="1">
        <v>18829141411</v>
      </c>
      <c r="G96" s="1" t="s">
        <v>276</v>
      </c>
      <c r="H96" s="1">
        <v>36</v>
      </c>
      <c r="I96" s="3">
        <v>27</v>
      </c>
      <c r="J96" s="1" t="str">
        <f t="shared" si="10"/>
        <v>是</v>
      </c>
      <c r="K96" s="1">
        <f t="shared" si="11"/>
        <v>216</v>
      </c>
      <c r="L96" t="s">
        <v>268</v>
      </c>
    </row>
    <row r="97" spans="1:12">
      <c r="A97" s="2"/>
      <c r="B97" s="7"/>
      <c r="C97" s="1" t="s">
        <v>293</v>
      </c>
      <c r="D97" s="1" t="s">
        <v>294</v>
      </c>
      <c r="E97" s="1">
        <v>3326223141</v>
      </c>
      <c r="F97" s="1">
        <v>15200932291</v>
      </c>
      <c r="G97" s="1" t="s">
        <v>295</v>
      </c>
      <c r="H97" s="1">
        <v>35</v>
      </c>
      <c r="I97" s="3">
        <v>35</v>
      </c>
      <c r="J97" s="1" t="str">
        <f t="shared" si="10"/>
        <v>是</v>
      </c>
      <c r="K97" s="1">
        <f t="shared" si="11"/>
        <v>280</v>
      </c>
      <c r="L97" t="s">
        <v>268</v>
      </c>
    </row>
    <row r="98" spans="1:12">
      <c r="A98" s="2" t="s">
        <v>296</v>
      </c>
      <c r="B98" s="7" t="s">
        <v>12</v>
      </c>
      <c r="C98" s="1" t="s">
        <v>297</v>
      </c>
      <c r="D98" s="1" t="s">
        <v>298</v>
      </c>
      <c r="E98" s="1">
        <v>3446613439</v>
      </c>
      <c r="F98" s="1">
        <v>18386712602</v>
      </c>
      <c r="G98" s="1" t="s">
        <v>299</v>
      </c>
      <c r="H98" s="1">
        <v>52</v>
      </c>
      <c r="I98" s="3">
        <v>46</v>
      </c>
      <c r="J98" s="1" t="str">
        <f t="shared" si="10"/>
        <v>是</v>
      </c>
      <c r="K98" s="1">
        <f t="shared" si="11"/>
        <v>368</v>
      </c>
    </row>
    <row r="99" spans="1:12">
      <c r="A99" s="2"/>
      <c r="B99" s="7"/>
      <c r="C99" s="1" t="s">
        <v>300</v>
      </c>
      <c r="D99" s="1" t="s">
        <v>301</v>
      </c>
      <c r="E99" s="1">
        <v>2284458748</v>
      </c>
      <c r="F99" s="1">
        <v>15197482735</v>
      </c>
      <c r="G99" s="1" t="s">
        <v>302</v>
      </c>
      <c r="H99" s="1">
        <v>49</v>
      </c>
      <c r="I99" s="1">
        <v>22</v>
      </c>
      <c r="J99" s="1" t="s">
        <v>19</v>
      </c>
      <c r="K99" s="1">
        <f t="shared" si="11"/>
        <v>176</v>
      </c>
    </row>
    <row r="100" spans="1:12">
      <c r="A100" s="2"/>
      <c r="B100" s="7"/>
      <c r="C100" s="1" t="s">
        <v>303</v>
      </c>
      <c r="D100" s="4" t="s">
        <v>304</v>
      </c>
      <c r="E100" s="1">
        <v>2970916216</v>
      </c>
      <c r="F100" s="1">
        <v>19957406136</v>
      </c>
      <c r="G100" s="1" t="s">
        <v>305</v>
      </c>
      <c r="H100" s="1">
        <v>46</v>
      </c>
      <c r="I100" s="3">
        <v>46</v>
      </c>
      <c r="J100" s="1" t="str">
        <f t="shared" ref="J100:J105" si="12">IF(I100/H100&lt;0.5,"否","是")</f>
        <v>是</v>
      </c>
      <c r="K100" s="1">
        <f t="shared" si="11"/>
        <v>368</v>
      </c>
    </row>
    <row r="101" spans="1:12">
      <c r="A101" s="2" t="s">
        <v>306</v>
      </c>
      <c r="B101" s="7" t="s">
        <v>107</v>
      </c>
      <c r="C101" s="1" t="s">
        <v>307</v>
      </c>
      <c r="D101" s="1" t="s">
        <v>308</v>
      </c>
      <c r="E101" s="1">
        <v>2492275312</v>
      </c>
      <c r="F101" s="1">
        <v>18183673080</v>
      </c>
      <c r="G101" s="1" t="s">
        <v>309</v>
      </c>
      <c r="H101" s="1">
        <v>28</v>
      </c>
      <c r="I101" s="1">
        <v>4</v>
      </c>
      <c r="J101" s="1" t="str">
        <f t="shared" si="12"/>
        <v>否</v>
      </c>
      <c r="K101" s="1">
        <f t="shared" si="11"/>
        <v>32</v>
      </c>
    </row>
    <row r="102" spans="1:12">
      <c r="A102" s="2"/>
      <c r="B102" s="7"/>
      <c r="C102" s="1" t="s">
        <v>310</v>
      </c>
      <c r="D102" s="1" t="s">
        <v>311</v>
      </c>
      <c r="E102" s="1">
        <v>1559628923</v>
      </c>
      <c r="F102" s="1">
        <v>18093474096</v>
      </c>
      <c r="G102" s="1" t="s">
        <v>312</v>
      </c>
      <c r="H102" s="1">
        <v>22</v>
      </c>
      <c r="I102" s="3">
        <v>3</v>
      </c>
      <c r="J102" s="1" t="str">
        <f t="shared" si="12"/>
        <v>否</v>
      </c>
      <c r="K102" s="1">
        <f t="shared" si="11"/>
        <v>24</v>
      </c>
    </row>
    <row r="103" spans="1:12">
      <c r="A103" s="2"/>
      <c r="B103" s="7" t="s">
        <v>12</v>
      </c>
      <c r="C103" s="1" t="s">
        <v>313</v>
      </c>
      <c r="D103" s="1" t="s">
        <v>314</v>
      </c>
      <c r="E103" s="1">
        <v>815905873</v>
      </c>
      <c r="F103" s="1">
        <v>15673064356</v>
      </c>
      <c r="G103" s="1" t="s">
        <v>315</v>
      </c>
      <c r="H103" s="1">
        <v>33</v>
      </c>
      <c r="I103" s="1">
        <v>10</v>
      </c>
      <c r="J103" s="1" t="str">
        <f t="shared" si="12"/>
        <v>否</v>
      </c>
      <c r="K103" s="1">
        <f t="shared" si="11"/>
        <v>80</v>
      </c>
    </row>
    <row r="104" spans="1:12">
      <c r="A104" s="2"/>
      <c r="B104" s="7"/>
      <c r="C104" s="1" t="s">
        <v>316</v>
      </c>
      <c r="D104" s="1" t="s">
        <v>317</v>
      </c>
      <c r="E104" s="1">
        <v>3147803439</v>
      </c>
      <c r="F104" s="1">
        <v>17375155255</v>
      </c>
      <c r="G104" s="1" t="s">
        <v>318</v>
      </c>
      <c r="H104" s="1">
        <v>25</v>
      </c>
      <c r="I104" s="1">
        <v>23</v>
      </c>
      <c r="J104" s="1" t="str">
        <f t="shared" si="12"/>
        <v>是</v>
      </c>
      <c r="K104" s="1">
        <f t="shared" si="11"/>
        <v>184</v>
      </c>
    </row>
    <row r="105" spans="1:12">
      <c r="A105" s="2"/>
      <c r="B105" s="7" t="s">
        <v>20</v>
      </c>
      <c r="C105" s="1" t="s">
        <v>310</v>
      </c>
      <c r="D105" s="1" t="s">
        <v>319</v>
      </c>
      <c r="E105" s="1">
        <v>1640603312</v>
      </c>
      <c r="F105" s="1">
        <v>19175246027</v>
      </c>
      <c r="G105" s="1" t="s">
        <v>320</v>
      </c>
      <c r="H105" s="1">
        <v>34</v>
      </c>
      <c r="I105" s="3">
        <v>31</v>
      </c>
      <c r="J105" s="1" t="str">
        <f t="shared" si="12"/>
        <v>是</v>
      </c>
      <c r="K105" s="1">
        <f t="shared" si="11"/>
        <v>248</v>
      </c>
      <c r="L105" t="s">
        <v>81</v>
      </c>
    </row>
    <row r="106" spans="1:12">
      <c r="A106" s="2"/>
      <c r="B106" s="7"/>
      <c r="C106" s="1" t="s">
        <v>321</v>
      </c>
      <c r="D106" s="1" t="s">
        <v>322</v>
      </c>
      <c r="E106" s="1">
        <v>3637451931</v>
      </c>
      <c r="F106" s="1">
        <v>18873205759</v>
      </c>
      <c r="G106" s="1" t="s">
        <v>323</v>
      </c>
      <c r="H106" s="1">
        <v>39</v>
      </c>
      <c r="I106" s="1">
        <v>29</v>
      </c>
      <c r="J106" s="1" t="s">
        <v>71</v>
      </c>
      <c r="K106" s="1">
        <f t="shared" si="11"/>
        <v>232</v>
      </c>
      <c r="L106" t="s">
        <v>130</v>
      </c>
    </row>
    <row r="107" spans="1:12">
      <c r="A107" s="2"/>
      <c r="B107" s="7"/>
      <c r="C107" s="1" t="s">
        <v>324</v>
      </c>
      <c r="D107" s="1" t="s">
        <v>325</v>
      </c>
      <c r="E107" s="1">
        <v>226206248</v>
      </c>
      <c r="F107" s="1">
        <v>15115934646</v>
      </c>
      <c r="G107" s="1" t="s">
        <v>326</v>
      </c>
      <c r="H107" s="1">
        <v>39</v>
      </c>
      <c r="I107" s="1">
        <v>7</v>
      </c>
      <c r="J107" s="1" t="s">
        <v>19</v>
      </c>
      <c r="K107" s="1">
        <f t="shared" si="11"/>
        <v>56</v>
      </c>
      <c r="L107" t="s">
        <v>130</v>
      </c>
    </row>
    <row r="108" spans="1:12">
      <c r="A108" s="2"/>
      <c r="B108" s="7"/>
      <c r="C108" s="1" t="s">
        <v>327</v>
      </c>
      <c r="D108" s="4" t="s">
        <v>328</v>
      </c>
      <c r="E108" s="1">
        <v>2657916297</v>
      </c>
      <c r="F108" s="1"/>
      <c r="G108" s="1"/>
      <c r="H108" s="1">
        <v>40</v>
      </c>
      <c r="I108" s="3">
        <v>33</v>
      </c>
      <c r="J108" s="1" t="str">
        <f t="shared" ref="J108:J116" si="13">IF(I108/H108&lt;0.5,"否","是")</f>
        <v>是</v>
      </c>
      <c r="K108" s="1">
        <f t="shared" si="11"/>
        <v>264</v>
      </c>
      <c r="L108" t="s">
        <v>130</v>
      </c>
    </row>
    <row r="109" spans="1:12">
      <c r="A109" s="2" t="s">
        <v>329</v>
      </c>
      <c r="B109" s="1" t="s">
        <v>175</v>
      </c>
      <c r="C109" s="1" t="s">
        <v>330</v>
      </c>
      <c r="D109" s="1" t="s">
        <v>331</v>
      </c>
      <c r="E109" s="1">
        <v>2029271774</v>
      </c>
      <c r="F109" s="1">
        <v>17873657151</v>
      </c>
      <c r="G109" s="1" t="s">
        <v>332</v>
      </c>
      <c r="H109" s="1">
        <v>33</v>
      </c>
      <c r="I109" s="3">
        <v>6</v>
      </c>
      <c r="J109" s="1" t="str">
        <f t="shared" si="13"/>
        <v>否</v>
      </c>
      <c r="K109" s="1">
        <f t="shared" si="11"/>
        <v>48</v>
      </c>
    </row>
    <row r="110" spans="1:12">
      <c r="A110" s="2"/>
      <c r="B110" s="1" t="s">
        <v>107</v>
      </c>
      <c r="C110" s="1" t="s">
        <v>333</v>
      </c>
      <c r="D110" s="1" t="s">
        <v>334</v>
      </c>
      <c r="E110" s="1">
        <v>2786118769</v>
      </c>
      <c r="F110" s="1">
        <v>19848132695</v>
      </c>
      <c r="G110" s="1" t="s">
        <v>335</v>
      </c>
      <c r="H110" s="1">
        <v>25</v>
      </c>
      <c r="I110" s="1">
        <v>14</v>
      </c>
      <c r="J110" s="1" t="s">
        <v>71</v>
      </c>
      <c r="K110" s="1">
        <f t="shared" si="11"/>
        <v>112</v>
      </c>
    </row>
    <row r="111" spans="1:12">
      <c r="A111" s="2"/>
      <c r="B111" s="1" t="s">
        <v>20</v>
      </c>
      <c r="C111" s="1" t="s">
        <v>336</v>
      </c>
      <c r="D111" s="1" t="s">
        <v>337</v>
      </c>
      <c r="E111" s="1">
        <v>2545043778</v>
      </c>
      <c r="F111" s="1">
        <v>17872536116</v>
      </c>
      <c r="G111" s="1" t="s">
        <v>338</v>
      </c>
      <c r="H111" s="1">
        <v>32</v>
      </c>
      <c r="I111" s="1">
        <v>23</v>
      </c>
      <c r="J111" s="1" t="s">
        <v>71</v>
      </c>
      <c r="K111" s="1">
        <f t="shared" si="11"/>
        <v>184</v>
      </c>
      <c r="L111" t="s">
        <v>139</v>
      </c>
    </row>
    <row r="112" spans="1:12">
      <c r="A112" s="2" t="s">
        <v>339</v>
      </c>
      <c r="B112" s="1" t="s">
        <v>107</v>
      </c>
      <c r="C112" s="1" t="s">
        <v>340</v>
      </c>
      <c r="D112" s="1" t="s">
        <v>341</v>
      </c>
      <c r="E112" s="1">
        <v>1590366374</v>
      </c>
      <c r="F112" s="1">
        <v>19339150960</v>
      </c>
      <c r="G112" s="1" t="s">
        <v>342</v>
      </c>
      <c r="H112" s="1">
        <v>27</v>
      </c>
      <c r="I112" s="1">
        <v>15</v>
      </c>
      <c r="J112" s="1" t="s">
        <v>71</v>
      </c>
      <c r="K112" s="1">
        <f t="shared" si="11"/>
        <v>120</v>
      </c>
    </row>
    <row r="113" spans="1:12">
      <c r="A113" s="2"/>
      <c r="B113" s="7" t="s">
        <v>20</v>
      </c>
      <c r="C113" s="1" t="s">
        <v>343</v>
      </c>
      <c r="D113" s="1" t="s">
        <v>344</v>
      </c>
      <c r="E113" s="1">
        <v>3421859632</v>
      </c>
      <c r="F113" s="1">
        <v>18563222094</v>
      </c>
      <c r="G113" s="1" t="s">
        <v>345</v>
      </c>
      <c r="H113" s="1">
        <v>40</v>
      </c>
      <c r="I113" s="1">
        <v>39</v>
      </c>
      <c r="J113" s="1" t="str">
        <f t="shared" si="13"/>
        <v>是</v>
      </c>
      <c r="K113" s="1">
        <f t="shared" si="11"/>
        <v>312</v>
      </c>
      <c r="L113" t="s">
        <v>346</v>
      </c>
    </row>
    <row r="114" spans="1:12">
      <c r="A114" s="2"/>
      <c r="B114" s="7"/>
      <c r="C114" s="1" t="s">
        <v>347</v>
      </c>
      <c r="D114" s="1" t="s">
        <v>348</v>
      </c>
      <c r="E114" s="1">
        <v>3301660065</v>
      </c>
      <c r="F114" s="1">
        <v>18873218900</v>
      </c>
      <c r="G114" s="1" t="s">
        <v>349</v>
      </c>
      <c r="H114" s="1">
        <v>40</v>
      </c>
      <c r="I114" s="3">
        <v>9</v>
      </c>
      <c r="J114" s="1" t="str">
        <f t="shared" si="13"/>
        <v>否</v>
      </c>
      <c r="K114" s="1">
        <f t="shared" si="11"/>
        <v>72</v>
      </c>
      <c r="L114" t="s">
        <v>346</v>
      </c>
    </row>
    <row r="115" spans="1:12">
      <c r="A115" s="2"/>
      <c r="B115" s="7"/>
      <c r="C115" s="1" t="s">
        <v>350</v>
      </c>
      <c r="D115" s="1" t="s">
        <v>351</v>
      </c>
      <c r="E115" s="1">
        <v>2760434750</v>
      </c>
      <c r="F115" s="1">
        <v>18154065602</v>
      </c>
      <c r="G115" s="1" t="s">
        <v>352</v>
      </c>
      <c r="H115" s="1">
        <v>37</v>
      </c>
      <c r="I115" s="1">
        <v>19</v>
      </c>
      <c r="J115" s="1" t="str">
        <f t="shared" si="13"/>
        <v>是</v>
      </c>
      <c r="K115" s="1">
        <f t="shared" si="11"/>
        <v>152</v>
      </c>
      <c r="L115" t="s">
        <v>346</v>
      </c>
    </row>
    <row r="116" spans="1:12">
      <c r="A116" s="2" t="s">
        <v>353</v>
      </c>
      <c r="B116" s="7" t="s">
        <v>12</v>
      </c>
      <c r="C116" s="1" t="s">
        <v>354</v>
      </c>
      <c r="D116" s="1" t="s">
        <v>355</v>
      </c>
      <c r="E116" s="1">
        <v>1536916946</v>
      </c>
      <c r="F116" s="1">
        <v>17680329792</v>
      </c>
      <c r="G116" s="1" t="s">
        <v>356</v>
      </c>
      <c r="H116" s="3">
        <v>24</v>
      </c>
      <c r="I116" s="3">
        <v>21</v>
      </c>
      <c r="J116" s="1" t="str">
        <f t="shared" si="13"/>
        <v>是</v>
      </c>
      <c r="K116" s="1">
        <f t="shared" si="11"/>
        <v>168</v>
      </c>
    </row>
    <row r="117" spans="1:12">
      <c r="A117" s="2"/>
      <c r="B117" s="7"/>
      <c r="C117" s="1" t="s">
        <v>357</v>
      </c>
      <c r="D117" s="1" t="s">
        <v>358</v>
      </c>
      <c r="E117" s="1">
        <v>264500297</v>
      </c>
      <c r="F117" s="1">
        <v>13290617689</v>
      </c>
      <c r="G117" s="1" t="s">
        <v>359</v>
      </c>
      <c r="H117" s="1">
        <v>29</v>
      </c>
      <c r="I117" s="1">
        <v>21</v>
      </c>
      <c r="J117" s="1" t="s">
        <v>71</v>
      </c>
      <c r="K117" s="1">
        <f t="shared" si="11"/>
        <v>168</v>
      </c>
    </row>
    <row r="118" spans="1:12">
      <c r="A118" s="2"/>
      <c r="B118" s="1" t="s">
        <v>20</v>
      </c>
      <c r="C118" s="1" t="s">
        <v>357</v>
      </c>
      <c r="D118" s="1" t="s">
        <v>360</v>
      </c>
      <c r="E118" s="1">
        <v>2321671811</v>
      </c>
      <c r="F118" s="1">
        <v>15673356649</v>
      </c>
      <c r="G118" s="1" t="s">
        <v>361</v>
      </c>
      <c r="H118" s="1">
        <v>30</v>
      </c>
      <c r="I118" s="1">
        <v>10</v>
      </c>
      <c r="J118" s="1" t="str">
        <f t="shared" ref="J118:J130" si="14">IF(I118/H118&lt;0.5,"否","是")</f>
        <v>否</v>
      </c>
      <c r="K118" s="1">
        <f t="shared" si="11"/>
        <v>80</v>
      </c>
      <c r="L118" t="s">
        <v>360</v>
      </c>
    </row>
    <row r="119" spans="1:12">
      <c r="A119" s="2" t="s">
        <v>362</v>
      </c>
      <c r="B119" s="1" t="s">
        <v>175</v>
      </c>
      <c r="C119" s="1" t="s">
        <v>363</v>
      </c>
      <c r="D119" s="1" t="s">
        <v>364</v>
      </c>
      <c r="E119" s="1">
        <v>1559502069</v>
      </c>
      <c r="F119" s="1">
        <v>13298551055</v>
      </c>
      <c r="G119" s="1"/>
      <c r="H119" s="1">
        <v>43</v>
      </c>
      <c r="I119" s="1">
        <v>3</v>
      </c>
      <c r="J119" s="1" t="s">
        <v>19</v>
      </c>
      <c r="K119" s="1">
        <f t="shared" si="11"/>
        <v>24</v>
      </c>
    </row>
    <row r="120" spans="1:12">
      <c r="A120" s="2"/>
      <c r="B120" s="1" t="s">
        <v>107</v>
      </c>
      <c r="C120" s="1" t="s">
        <v>365</v>
      </c>
      <c r="D120" s="1" t="s">
        <v>366</v>
      </c>
      <c r="E120" s="1">
        <v>2147738632</v>
      </c>
      <c r="F120" s="1">
        <v>18992693626</v>
      </c>
      <c r="G120" s="1" t="s">
        <v>367</v>
      </c>
      <c r="H120" s="1">
        <v>39</v>
      </c>
      <c r="I120" s="3">
        <v>6</v>
      </c>
      <c r="J120" s="1" t="str">
        <f t="shared" si="14"/>
        <v>否</v>
      </c>
      <c r="K120" s="1">
        <f t="shared" si="11"/>
        <v>48</v>
      </c>
      <c r="L120" t="s">
        <v>368</v>
      </c>
    </row>
    <row r="121" spans="1:12">
      <c r="A121" s="2"/>
      <c r="B121" s="7" t="s">
        <v>12</v>
      </c>
      <c r="C121" s="1" t="s">
        <v>369</v>
      </c>
      <c r="D121" s="1" t="s">
        <v>370</v>
      </c>
      <c r="E121" s="1">
        <v>2982162257</v>
      </c>
      <c r="F121" s="1">
        <v>19918553733</v>
      </c>
      <c r="G121" s="1" t="s">
        <v>371</v>
      </c>
      <c r="H121" s="1">
        <v>33</v>
      </c>
      <c r="I121" s="1">
        <v>33</v>
      </c>
      <c r="J121" s="1" t="s">
        <v>71</v>
      </c>
      <c r="K121" s="1">
        <f t="shared" si="11"/>
        <v>264</v>
      </c>
    </row>
    <row r="122" spans="1:12">
      <c r="A122" s="2"/>
      <c r="B122" s="7"/>
      <c r="C122" s="1" t="s">
        <v>372</v>
      </c>
      <c r="D122" s="1" t="s">
        <v>373</v>
      </c>
      <c r="E122" s="1">
        <v>1022803230</v>
      </c>
      <c r="F122" s="1">
        <v>18842991191</v>
      </c>
      <c r="G122" s="1" t="s">
        <v>374</v>
      </c>
      <c r="H122" s="1">
        <v>53</v>
      </c>
      <c r="I122" s="3">
        <v>38</v>
      </c>
      <c r="J122" s="1" t="str">
        <f t="shared" si="14"/>
        <v>是</v>
      </c>
      <c r="K122" s="1">
        <f t="shared" si="11"/>
        <v>304</v>
      </c>
      <c r="L122" t="s">
        <v>117</v>
      </c>
    </row>
    <row r="123" spans="1:12">
      <c r="A123" s="2"/>
      <c r="B123" s="7"/>
      <c r="C123" s="1" t="s">
        <v>363</v>
      </c>
      <c r="D123" s="1" t="s">
        <v>375</v>
      </c>
      <c r="E123" s="1">
        <v>3063382292</v>
      </c>
      <c r="F123" s="1">
        <v>15874852751</v>
      </c>
      <c r="G123" s="1" t="s">
        <v>376</v>
      </c>
      <c r="H123" s="1">
        <v>51</v>
      </c>
      <c r="I123" s="1">
        <v>51</v>
      </c>
      <c r="J123" s="1" t="str">
        <f t="shared" si="14"/>
        <v>是</v>
      </c>
      <c r="K123" s="1">
        <f t="shared" si="11"/>
        <v>408</v>
      </c>
      <c r="L123" t="s">
        <v>377</v>
      </c>
    </row>
    <row r="124" spans="1:12">
      <c r="A124" s="2"/>
      <c r="B124" s="7"/>
      <c r="C124" s="1" t="s">
        <v>365</v>
      </c>
      <c r="D124" s="1" t="s">
        <v>378</v>
      </c>
      <c r="E124" s="1">
        <v>2433391603</v>
      </c>
      <c r="F124" s="1">
        <v>18598919268</v>
      </c>
      <c r="G124" s="1" t="s">
        <v>379</v>
      </c>
      <c r="H124" s="3">
        <v>40</v>
      </c>
      <c r="I124" s="3">
        <v>20</v>
      </c>
      <c r="J124" s="1" t="str">
        <f t="shared" si="14"/>
        <v>是</v>
      </c>
      <c r="K124" s="1">
        <f t="shared" si="11"/>
        <v>160</v>
      </c>
      <c r="L124" t="s">
        <v>377</v>
      </c>
    </row>
    <row r="125" spans="1:12">
      <c r="A125" s="2"/>
      <c r="B125" s="2" t="s">
        <v>20</v>
      </c>
      <c r="C125" s="1" t="s">
        <v>363</v>
      </c>
      <c r="D125" s="1" t="s">
        <v>380</v>
      </c>
      <c r="E125" s="1">
        <v>2668030630</v>
      </c>
      <c r="F125" s="1">
        <v>19324652635</v>
      </c>
      <c r="G125" s="1" t="s">
        <v>381</v>
      </c>
      <c r="H125" s="1">
        <v>39</v>
      </c>
      <c r="I125" s="3">
        <v>37</v>
      </c>
      <c r="J125" s="1" t="str">
        <f t="shared" si="14"/>
        <v>是</v>
      </c>
      <c r="K125" s="1">
        <f t="shared" si="11"/>
        <v>296</v>
      </c>
      <c r="L125" t="s">
        <v>382</v>
      </c>
    </row>
    <row r="126" spans="1:12">
      <c r="A126" s="2"/>
      <c r="B126" s="2"/>
      <c r="C126" s="1" t="s">
        <v>365</v>
      </c>
      <c r="D126" s="1" t="s">
        <v>383</v>
      </c>
      <c r="E126" s="1">
        <v>3077754824</v>
      </c>
      <c r="F126" s="1">
        <v>17886617295</v>
      </c>
      <c r="G126" s="1" t="s">
        <v>198</v>
      </c>
      <c r="H126" s="1">
        <v>41</v>
      </c>
      <c r="I126" s="3">
        <v>30</v>
      </c>
      <c r="J126" s="1" t="str">
        <f t="shared" si="14"/>
        <v>是</v>
      </c>
      <c r="K126" s="1">
        <f t="shared" si="11"/>
        <v>240</v>
      </c>
      <c r="L126" t="s">
        <v>382</v>
      </c>
    </row>
    <row r="127" spans="1:12">
      <c r="A127" s="2"/>
      <c r="B127" s="2"/>
      <c r="C127" s="1" t="s">
        <v>384</v>
      </c>
      <c r="D127" s="1" t="s">
        <v>385</v>
      </c>
      <c r="E127" s="1">
        <v>2256170989</v>
      </c>
      <c r="F127" s="1">
        <v>19164820686</v>
      </c>
      <c r="G127" s="1" t="s">
        <v>361</v>
      </c>
      <c r="H127" s="1">
        <v>41</v>
      </c>
      <c r="I127" s="1">
        <v>8</v>
      </c>
      <c r="J127" s="1" t="str">
        <f t="shared" si="14"/>
        <v>否</v>
      </c>
      <c r="K127" s="1">
        <f t="shared" si="11"/>
        <v>64</v>
      </c>
      <c r="L127" t="s">
        <v>382</v>
      </c>
    </row>
    <row r="128" spans="1:12">
      <c r="A128" s="2" t="s">
        <v>386</v>
      </c>
      <c r="B128" s="7" t="s">
        <v>20</v>
      </c>
      <c r="C128" s="1" t="s">
        <v>387</v>
      </c>
      <c r="D128" s="4" t="s">
        <v>388</v>
      </c>
      <c r="E128" s="3">
        <v>3443552143</v>
      </c>
      <c r="F128" s="3">
        <v>13874593102</v>
      </c>
      <c r="G128" s="4" t="s">
        <v>389</v>
      </c>
      <c r="H128" s="1">
        <v>40</v>
      </c>
      <c r="I128" s="3">
        <v>13</v>
      </c>
      <c r="J128" s="1" t="str">
        <f t="shared" si="14"/>
        <v>否</v>
      </c>
      <c r="K128" s="1">
        <f t="shared" si="11"/>
        <v>104</v>
      </c>
      <c r="L128" t="s">
        <v>37</v>
      </c>
    </row>
    <row r="129" spans="1:12">
      <c r="A129" s="2"/>
      <c r="B129" s="7"/>
      <c r="C129" s="1" t="s">
        <v>390</v>
      </c>
      <c r="D129" s="4" t="s">
        <v>37</v>
      </c>
      <c r="E129" s="3">
        <v>3804146726</v>
      </c>
      <c r="F129" s="3">
        <v>18948403507</v>
      </c>
      <c r="G129" s="4" t="s">
        <v>171</v>
      </c>
      <c r="H129" s="1">
        <v>42</v>
      </c>
      <c r="I129" s="3">
        <v>14</v>
      </c>
      <c r="J129" s="1" t="str">
        <f t="shared" si="14"/>
        <v>否</v>
      </c>
      <c r="K129" s="1">
        <f t="shared" si="11"/>
        <v>112</v>
      </c>
      <c r="L129" t="s">
        <v>37</v>
      </c>
    </row>
    <row r="130" spans="1:12">
      <c r="A130" s="2"/>
      <c r="B130" s="7"/>
      <c r="C130" s="1" t="s">
        <v>391</v>
      </c>
      <c r="D130" s="1" t="s">
        <v>392</v>
      </c>
      <c r="E130" s="1">
        <v>1792518194</v>
      </c>
      <c r="F130" s="1">
        <v>19084908906</v>
      </c>
      <c r="G130" s="1" t="s">
        <v>393</v>
      </c>
      <c r="H130" s="1">
        <v>42</v>
      </c>
      <c r="I130" s="1">
        <v>9</v>
      </c>
      <c r="J130" s="1" t="str">
        <f t="shared" si="14"/>
        <v>否</v>
      </c>
      <c r="K130" s="1">
        <f t="shared" si="11"/>
        <v>72</v>
      </c>
      <c r="L130" t="s">
        <v>37</v>
      </c>
    </row>
    <row r="131" spans="1:12">
      <c r="A131" s="2"/>
      <c r="B131" s="7"/>
      <c r="C131" s="1" t="s">
        <v>394</v>
      </c>
      <c r="D131" s="1" t="s">
        <v>395</v>
      </c>
      <c r="E131" s="1">
        <v>3521123414</v>
      </c>
      <c r="F131" s="1">
        <v>19986211375</v>
      </c>
      <c r="G131" s="1" t="s">
        <v>393</v>
      </c>
      <c r="H131" s="1">
        <v>29</v>
      </c>
      <c r="I131" s="1">
        <v>4</v>
      </c>
      <c r="J131" s="1" t="s">
        <v>19</v>
      </c>
      <c r="K131" s="1">
        <f t="shared" si="11"/>
        <v>32</v>
      </c>
      <c r="L131" t="s">
        <v>81</v>
      </c>
    </row>
    <row r="132" spans="1:12">
      <c r="A132" s="2" t="s">
        <v>396</v>
      </c>
      <c r="B132" s="7" t="s">
        <v>175</v>
      </c>
      <c r="C132" s="1" t="s">
        <v>82</v>
      </c>
      <c r="D132" s="1" t="s">
        <v>397</v>
      </c>
      <c r="E132" s="1">
        <v>3230895335</v>
      </c>
      <c r="F132" s="1">
        <v>19376683137</v>
      </c>
      <c r="G132" s="1" t="s">
        <v>398</v>
      </c>
      <c r="H132" s="1">
        <v>36</v>
      </c>
      <c r="I132" s="1">
        <v>36</v>
      </c>
      <c r="J132" s="1" t="s">
        <v>71</v>
      </c>
      <c r="K132" s="1">
        <f t="shared" si="11"/>
        <v>288</v>
      </c>
    </row>
    <row r="133" spans="1:12">
      <c r="A133" s="2"/>
      <c r="B133" s="7"/>
      <c r="C133" s="1" t="s">
        <v>85</v>
      </c>
      <c r="D133" s="1" t="s">
        <v>399</v>
      </c>
      <c r="E133" s="1">
        <v>1321523759</v>
      </c>
      <c r="F133" s="1">
        <v>13135322726</v>
      </c>
      <c r="G133" s="1" t="s">
        <v>400</v>
      </c>
      <c r="H133" s="1">
        <v>36</v>
      </c>
      <c r="I133" s="1">
        <v>36</v>
      </c>
      <c r="J133" s="1" t="s">
        <v>71</v>
      </c>
      <c r="K133" s="1">
        <f t="shared" si="11"/>
        <v>288</v>
      </c>
      <c r="L133" t="s">
        <v>117</v>
      </c>
    </row>
    <row r="134" spans="1:12">
      <c r="A134" s="2"/>
      <c r="B134" s="7"/>
      <c r="C134" s="1" t="s">
        <v>78</v>
      </c>
      <c r="D134" s="1" t="s">
        <v>401</v>
      </c>
      <c r="E134" s="1">
        <v>2022601747</v>
      </c>
      <c r="F134" s="1">
        <v>13187025001</v>
      </c>
      <c r="G134" s="1" t="s">
        <v>402</v>
      </c>
      <c r="H134" s="1">
        <v>36</v>
      </c>
      <c r="I134" s="1">
        <v>36</v>
      </c>
      <c r="J134" s="1" t="str">
        <f t="shared" ref="J134:J141" si="15">IF(I134/H134&lt;0.5,"否","是")</f>
        <v>是</v>
      </c>
      <c r="K134" s="1">
        <f t="shared" si="11"/>
        <v>288</v>
      </c>
      <c r="L134" t="s">
        <v>117</v>
      </c>
    </row>
    <row r="135" spans="1:12">
      <c r="A135" s="2"/>
      <c r="B135" s="7"/>
      <c r="C135" s="1" t="s">
        <v>403</v>
      </c>
      <c r="D135" s="1" t="s">
        <v>404</v>
      </c>
      <c r="E135" s="1">
        <v>2653702646</v>
      </c>
      <c r="F135" s="1">
        <v>19196018568</v>
      </c>
      <c r="G135" s="1" t="s">
        <v>405</v>
      </c>
      <c r="H135" s="1">
        <v>34</v>
      </c>
      <c r="I135" s="1">
        <v>34</v>
      </c>
      <c r="J135" s="1" t="s">
        <v>71</v>
      </c>
      <c r="K135" s="1">
        <f t="shared" si="11"/>
        <v>272</v>
      </c>
    </row>
    <row r="136" spans="1:12">
      <c r="A136" s="2"/>
      <c r="B136" s="1" t="s">
        <v>107</v>
      </c>
      <c r="C136" s="1" t="s">
        <v>167</v>
      </c>
      <c r="D136" s="1" t="s">
        <v>406</v>
      </c>
      <c r="E136" s="1">
        <v>3394162164</v>
      </c>
      <c r="F136" s="1">
        <v>17773517806</v>
      </c>
      <c r="G136" s="1" t="s">
        <v>407</v>
      </c>
      <c r="H136" s="1">
        <v>27</v>
      </c>
      <c r="I136" s="1">
        <v>27</v>
      </c>
      <c r="J136" s="1" t="s">
        <v>71</v>
      </c>
      <c r="K136" s="1">
        <f t="shared" si="11"/>
        <v>216</v>
      </c>
    </row>
    <row r="137" spans="1:12">
      <c r="A137" s="2"/>
      <c r="B137" s="1" t="s">
        <v>20</v>
      </c>
      <c r="C137" s="1" t="s">
        <v>408</v>
      </c>
      <c r="D137" s="1" t="s">
        <v>409</v>
      </c>
      <c r="E137" s="1">
        <v>1106540196</v>
      </c>
      <c r="F137" s="1">
        <v>18973748683</v>
      </c>
      <c r="G137" s="1" t="s">
        <v>410</v>
      </c>
      <c r="H137" s="1">
        <v>27</v>
      </c>
      <c r="I137" s="1">
        <v>27</v>
      </c>
      <c r="J137" s="1" t="s">
        <v>71</v>
      </c>
      <c r="K137" s="1">
        <f t="shared" si="11"/>
        <v>216</v>
      </c>
    </row>
    <row r="138" spans="1:12">
      <c r="A138" s="2" t="s">
        <v>411</v>
      </c>
      <c r="B138" s="1" t="s">
        <v>175</v>
      </c>
      <c r="C138" s="1" t="s">
        <v>412</v>
      </c>
      <c r="D138" s="1" t="s">
        <v>413</v>
      </c>
      <c r="E138" s="1">
        <v>1938726166</v>
      </c>
      <c r="F138" s="1">
        <v>15575252429</v>
      </c>
      <c r="G138" s="1" t="s">
        <v>414</v>
      </c>
      <c r="H138" s="1">
        <v>37</v>
      </c>
      <c r="I138" s="3">
        <v>37</v>
      </c>
      <c r="J138" s="1" t="str">
        <f t="shared" si="15"/>
        <v>是</v>
      </c>
      <c r="K138" s="1">
        <f t="shared" ref="K138:K145" si="16">I138*8</f>
        <v>296</v>
      </c>
      <c r="L138" t="s">
        <v>222</v>
      </c>
    </row>
    <row r="139" spans="1:12">
      <c r="A139" s="2"/>
      <c r="B139" s="7" t="s">
        <v>12</v>
      </c>
      <c r="C139" s="1" t="s">
        <v>415</v>
      </c>
      <c r="D139" s="1" t="s">
        <v>416</v>
      </c>
      <c r="E139" s="3">
        <v>2497621284</v>
      </c>
      <c r="F139" s="1">
        <v>19831039638</v>
      </c>
      <c r="G139" s="4" t="s">
        <v>417</v>
      </c>
      <c r="H139" s="1">
        <v>40</v>
      </c>
      <c r="I139" s="3">
        <v>20</v>
      </c>
      <c r="J139" s="1" t="str">
        <f t="shared" si="15"/>
        <v>是</v>
      </c>
      <c r="K139" s="1">
        <f t="shared" si="16"/>
        <v>160</v>
      </c>
      <c r="L139" t="s">
        <v>368</v>
      </c>
    </row>
    <row r="140" spans="1:12">
      <c r="A140" s="2"/>
      <c r="B140" s="7"/>
      <c r="C140" s="1" t="s">
        <v>418</v>
      </c>
      <c r="D140" s="1" t="s">
        <v>419</v>
      </c>
      <c r="E140" s="1">
        <v>1825235998</v>
      </c>
      <c r="F140" s="1">
        <v>13563213769</v>
      </c>
      <c r="G140" s="1" t="s">
        <v>420</v>
      </c>
      <c r="H140" s="1">
        <v>39</v>
      </c>
      <c r="I140" s="1">
        <v>6</v>
      </c>
      <c r="J140" s="1" t="str">
        <f t="shared" si="15"/>
        <v>否</v>
      </c>
      <c r="K140" s="1">
        <f t="shared" si="16"/>
        <v>48</v>
      </c>
    </row>
    <row r="141" spans="1:12">
      <c r="A141" s="2"/>
      <c r="B141" s="7"/>
      <c r="C141" s="1" t="s">
        <v>421</v>
      </c>
      <c r="D141" s="1" t="s">
        <v>422</v>
      </c>
      <c r="E141" s="1">
        <v>3468243849</v>
      </c>
      <c r="F141" s="1">
        <v>15570946029</v>
      </c>
      <c r="G141" s="1" t="s">
        <v>423</v>
      </c>
      <c r="H141" s="1">
        <v>40</v>
      </c>
      <c r="I141" s="1">
        <v>20</v>
      </c>
      <c r="J141" s="1" t="str">
        <f t="shared" si="15"/>
        <v>是</v>
      </c>
      <c r="K141" s="1">
        <f t="shared" si="16"/>
        <v>160</v>
      </c>
    </row>
    <row r="142" spans="1:12">
      <c r="A142" s="2"/>
      <c r="B142" s="7"/>
      <c r="C142" s="1" t="s">
        <v>424</v>
      </c>
      <c r="D142" s="1" t="s">
        <v>425</v>
      </c>
      <c r="E142" s="1">
        <v>1330833249</v>
      </c>
      <c r="F142" s="1">
        <v>18397785972</v>
      </c>
      <c r="G142" s="1" t="s">
        <v>426</v>
      </c>
      <c r="H142" s="1">
        <v>39</v>
      </c>
      <c r="I142" s="1">
        <v>39</v>
      </c>
      <c r="J142" s="1" t="s">
        <v>71</v>
      </c>
      <c r="K142" s="1">
        <f t="shared" si="16"/>
        <v>312</v>
      </c>
    </row>
    <row r="143" spans="1:12">
      <c r="A143" s="2"/>
      <c r="B143" s="7" t="s">
        <v>20</v>
      </c>
      <c r="C143" s="1" t="s">
        <v>427</v>
      </c>
      <c r="D143" s="1" t="s">
        <v>428</v>
      </c>
      <c r="E143" s="3">
        <v>1447954153</v>
      </c>
      <c r="F143" s="1">
        <v>19904578858</v>
      </c>
      <c r="G143" s="1" t="s">
        <v>429</v>
      </c>
      <c r="H143" s="1">
        <v>35</v>
      </c>
      <c r="I143" s="3">
        <v>35</v>
      </c>
      <c r="J143" s="1" t="str">
        <f t="shared" ref="J143:J145" si="17">IF(I143/H143&lt;0.5,"否","是")</f>
        <v>是</v>
      </c>
      <c r="K143" s="1">
        <f t="shared" si="16"/>
        <v>280</v>
      </c>
      <c r="L143" t="s">
        <v>430</v>
      </c>
    </row>
    <row r="144" spans="1:12">
      <c r="A144" s="2"/>
      <c r="B144" s="7"/>
      <c r="C144" s="1" t="s">
        <v>431</v>
      </c>
      <c r="D144" s="1" t="s">
        <v>432</v>
      </c>
      <c r="E144" s="1">
        <v>3228237025</v>
      </c>
      <c r="F144" s="1">
        <v>15973108772</v>
      </c>
      <c r="G144" s="1" t="s">
        <v>433</v>
      </c>
      <c r="H144" s="1">
        <v>29</v>
      </c>
      <c r="I144" s="3">
        <v>29</v>
      </c>
      <c r="J144" s="1" t="str">
        <f t="shared" si="17"/>
        <v>是</v>
      </c>
      <c r="K144" s="1">
        <f t="shared" si="16"/>
        <v>232</v>
      </c>
      <c r="L144" t="s">
        <v>430</v>
      </c>
    </row>
    <row r="145" spans="1:12">
      <c r="A145" s="2"/>
      <c r="B145" s="7"/>
      <c r="C145" s="1" t="s">
        <v>434</v>
      </c>
      <c r="D145" s="1" t="s">
        <v>435</v>
      </c>
      <c r="E145" s="1">
        <v>3203593662</v>
      </c>
      <c r="F145" s="1">
        <v>18570209869</v>
      </c>
      <c r="G145" s="1" t="s">
        <v>436</v>
      </c>
      <c r="H145" s="1">
        <v>35</v>
      </c>
      <c r="I145" s="3">
        <v>19</v>
      </c>
      <c r="J145" s="1" t="str">
        <f t="shared" si="17"/>
        <v>是</v>
      </c>
      <c r="K145" s="1">
        <f t="shared" si="16"/>
        <v>152</v>
      </c>
      <c r="L145" t="s">
        <v>430</v>
      </c>
    </row>
    <row r="146" spans="1:12">
      <c r="K146">
        <f>SUM(K2:K145)</f>
        <v>26927</v>
      </c>
    </row>
  </sheetData>
  <autoFilter xmlns:etc="http://www.wps.cn/officeDocument/2017/etCustomData" ref="A1:A145" etc:filterBottomFollowUsedRange="0">
    <extLst/>
  </autoFilter>
  <mergeCells count="51">
    <mergeCell ref="A2:A7"/>
    <mergeCell ref="A8:A13"/>
    <mergeCell ref="A14:A17"/>
    <mergeCell ref="A18:A30"/>
    <mergeCell ref="A31:A41"/>
    <mergeCell ref="A42:A52"/>
    <mergeCell ref="A53:A65"/>
    <mergeCell ref="A66:A68"/>
    <mergeCell ref="A69:A76"/>
    <mergeCell ref="A77:A97"/>
    <mergeCell ref="A98:A100"/>
    <mergeCell ref="A101:A108"/>
    <mergeCell ref="A109:A111"/>
    <mergeCell ref="A112:A115"/>
    <mergeCell ref="A116:A118"/>
    <mergeCell ref="A119:A127"/>
    <mergeCell ref="A128:A131"/>
    <mergeCell ref="A132:A137"/>
    <mergeCell ref="A138:A145"/>
    <mergeCell ref="B2:B3"/>
    <mergeCell ref="B4:B7"/>
    <mergeCell ref="B8:B13"/>
    <mergeCell ref="B14:B17"/>
    <mergeCell ref="B18:B20"/>
    <mergeCell ref="B21:B30"/>
    <mergeCell ref="B31:B32"/>
    <mergeCell ref="B33:B34"/>
    <mergeCell ref="B35:B41"/>
    <mergeCell ref="B42:B46"/>
    <mergeCell ref="B47:B52"/>
    <mergeCell ref="B54:B55"/>
    <mergeCell ref="B56:B65"/>
    <mergeCell ref="B67:B68"/>
    <mergeCell ref="B69:B70"/>
    <mergeCell ref="B71:B74"/>
    <mergeCell ref="B75:B76"/>
    <mergeCell ref="B77:B78"/>
    <mergeCell ref="B79:B84"/>
    <mergeCell ref="B85:B97"/>
    <mergeCell ref="B98:B100"/>
    <mergeCell ref="B101:B102"/>
    <mergeCell ref="B103:B104"/>
    <mergeCell ref="B105:B108"/>
    <mergeCell ref="B113:B115"/>
    <mergeCell ref="B116:B117"/>
    <mergeCell ref="B121:B124"/>
    <mergeCell ref="B125:B127"/>
    <mergeCell ref="B128:B131"/>
    <mergeCell ref="B132:B135"/>
    <mergeCell ref="B139:B142"/>
    <mergeCell ref="B143:B1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C141" sqref="A1:C144"/>
    </sheetView>
  </sheetViews>
  <sheetFormatPr defaultColWidth="8.72727272727273" defaultRowHeight="14"/>
  <cols>
    <col min="1" max="1" width="32" customWidth="1"/>
    <col min="2" max="2" width="5.54545454545455" customWidth="1"/>
    <col min="3" max="3" width="28.6363636363636" customWidth="1"/>
    <col min="5" max="5" width="11.7272727272727" customWidth="1"/>
    <col min="6" max="6" width="12.8181818181818" customWidth="1"/>
    <col min="7" max="7" width="21.9090909090909" customWidth="1"/>
  </cols>
  <sheetData>
    <row r="1" spans="1:11">
      <c r="A1" s="2" t="s">
        <v>243</v>
      </c>
      <c r="B1" s="2" t="s">
        <v>12</v>
      </c>
      <c r="C1" s="1" t="s">
        <v>261</v>
      </c>
      <c r="D1" s="1" t="s">
        <v>262</v>
      </c>
      <c r="E1" s="1">
        <v>1580622756</v>
      </c>
      <c r="F1" s="1">
        <v>16681590426</v>
      </c>
      <c r="G1" s="1" t="s">
        <v>263</v>
      </c>
      <c r="H1" s="1">
        <v>40</v>
      </c>
      <c r="I1" s="1">
        <v>40</v>
      </c>
      <c r="J1" s="1" t="str">
        <f>IF(I1/H1&lt;0.5,"否","是")</f>
        <v>是</v>
      </c>
      <c r="K1" s="1">
        <f>I1*8</f>
        <v>320</v>
      </c>
    </row>
    <row r="2" spans="1:11">
      <c r="A2" s="2" t="s">
        <v>67</v>
      </c>
      <c r="B2" s="2" t="s">
        <v>12</v>
      </c>
      <c r="C2" s="1" t="s">
        <v>72</v>
      </c>
      <c r="D2" s="1" t="s">
        <v>73</v>
      </c>
      <c r="E2" s="1">
        <v>1503789340</v>
      </c>
      <c r="F2" s="1">
        <v>13566701895</v>
      </c>
      <c r="G2" s="1" t="s">
        <v>74</v>
      </c>
      <c r="H2" s="1">
        <v>49</v>
      </c>
      <c r="I2" s="1">
        <v>49</v>
      </c>
      <c r="J2" s="1" t="s">
        <v>71</v>
      </c>
      <c r="K2" s="1">
        <f>I2*8</f>
        <v>392</v>
      </c>
    </row>
    <row r="3" spans="1:11">
      <c r="A3" s="2" t="s">
        <v>174</v>
      </c>
      <c r="B3" s="2" t="s">
        <v>20</v>
      </c>
      <c r="C3" s="1" t="s">
        <v>185</v>
      </c>
      <c r="D3" s="1" t="s">
        <v>186</v>
      </c>
      <c r="E3" s="1">
        <v>177191828</v>
      </c>
      <c r="F3" s="1">
        <v>13367487585</v>
      </c>
      <c r="G3" s="1" t="s">
        <v>187</v>
      </c>
      <c r="H3" s="1">
        <v>36</v>
      </c>
      <c r="I3" s="3">
        <v>36</v>
      </c>
      <c r="J3" s="1" t="s">
        <v>71</v>
      </c>
      <c r="K3" s="1">
        <v>288</v>
      </c>
    </row>
    <row r="4" spans="1:11">
      <c r="A4" s="2"/>
      <c r="B4" s="2" t="s">
        <v>20</v>
      </c>
      <c r="C4" s="1" t="s">
        <v>192</v>
      </c>
      <c r="D4" s="1" t="s">
        <v>193</v>
      </c>
      <c r="E4" s="1">
        <v>3460107356</v>
      </c>
      <c r="F4" s="1">
        <v>19896370338</v>
      </c>
      <c r="G4" s="1" t="s">
        <v>40</v>
      </c>
      <c r="H4" s="1">
        <v>36</v>
      </c>
      <c r="I4" s="3">
        <v>36</v>
      </c>
      <c r="J4" s="1" t="s">
        <v>71</v>
      </c>
      <c r="K4" s="1">
        <v>288</v>
      </c>
    </row>
    <row r="5" spans="1:11">
      <c r="A5" s="2"/>
      <c r="B5" s="2" t="s">
        <v>20</v>
      </c>
      <c r="C5" s="1" t="s">
        <v>176</v>
      </c>
      <c r="D5" s="1" t="s">
        <v>196</v>
      </c>
      <c r="E5" s="1">
        <v>3566227305</v>
      </c>
      <c r="F5" s="1">
        <v>15723037458</v>
      </c>
      <c r="G5" s="1" t="s">
        <v>191</v>
      </c>
      <c r="H5" s="1">
        <v>37</v>
      </c>
      <c r="I5" s="3">
        <v>36</v>
      </c>
      <c r="J5" s="1" t="s">
        <v>71</v>
      </c>
      <c r="K5" s="1">
        <v>288</v>
      </c>
    </row>
    <row r="6" spans="1:11">
      <c r="A6" s="2" t="s">
        <v>106</v>
      </c>
      <c r="B6" s="2" t="s">
        <v>20</v>
      </c>
      <c r="C6" s="1" t="s">
        <v>127</v>
      </c>
      <c r="D6" s="1" t="s">
        <v>128</v>
      </c>
      <c r="E6" s="1">
        <v>3796359814</v>
      </c>
      <c r="F6" s="1">
        <v>15502218910</v>
      </c>
      <c r="G6" s="1" t="s">
        <v>129</v>
      </c>
      <c r="H6" s="1">
        <v>39</v>
      </c>
      <c r="I6" s="3">
        <v>33</v>
      </c>
      <c r="J6" s="1" t="s">
        <v>71</v>
      </c>
      <c r="K6" s="1">
        <v>264</v>
      </c>
    </row>
    <row r="7" spans="1:11">
      <c r="A7" s="2"/>
      <c r="B7" s="2" t="s">
        <v>20</v>
      </c>
      <c r="C7" s="1" t="s">
        <v>114</v>
      </c>
      <c r="D7" s="1" t="s">
        <v>134</v>
      </c>
      <c r="E7" s="1">
        <v>2428765394</v>
      </c>
      <c r="F7" s="1">
        <v>15097832683</v>
      </c>
      <c r="G7" s="1" t="s">
        <v>135</v>
      </c>
      <c r="H7" s="1">
        <v>40</v>
      </c>
      <c r="I7" s="1">
        <v>33</v>
      </c>
      <c r="J7" s="1" t="s">
        <v>71</v>
      </c>
      <c r="K7" s="1">
        <v>264</v>
      </c>
    </row>
    <row r="8" spans="1:11">
      <c r="A8" s="2" t="s">
        <v>141</v>
      </c>
      <c r="B8" s="2" t="s">
        <v>20</v>
      </c>
      <c r="C8" s="1" t="s">
        <v>167</v>
      </c>
      <c r="D8" s="1" t="s">
        <v>168</v>
      </c>
      <c r="E8" s="1">
        <v>909927320</v>
      </c>
      <c r="F8" s="1">
        <v>13319562869</v>
      </c>
      <c r="G8" s="1" t="s">
        <v>169</v>
      </c>
      <c r="H8" s="1">
        <v>40</v>
      </c>
      <c r="I8" s="1">
        <v>31</v>
      </c>
      <c r="J8" s="1" t="s">
        <v>71</v>
      </c>
      <c r="K8" s="1">
        <f t="shared" ref="K8:K22" si="0">I8*8</f>
        <v>248</v>
      </c>
    </row>
    <row r="9" spans="1:11">
      <c r="A9" s="2" t="s">
        <v>362</v>
      </c>
      <c r="B9" s="2" t="s">
        <v>12</v>
      </c>
      <c r="C9" s="1" t="s">
        <v>363</v>
      </c>
      <c r="D9" s="1" t="s">
        <v>375</v>
      </c>
      <c r="E9" s="1">
        <v>3063382292</v>
      </c>
      <c r="F9" s="1">
        <v>15874852751</v>
      </c>
      <c r="G9" s="1" t="s">
        <v>376</v>
      </c>
      <c r="H9" s="1">
        <v>51</v>
      </c>
      <c r="I9" s="1">
        <v>51</v>
      </c>
      <c r="J9" s="1" t="str">
        <f t="shared" ref="J9:J15" si="1">IF(I9/H9&lt;0.5,"否","是")</f>
        <v>是</v>
      </c>
      <c r="K9" s="1">
        <f t="shared" si="0"/>
        <v>408</v>
      </c>
    </row>
    <row r="10" spans="1:11">
      <c r="A10" s="2" t="s">
        <v>218</v>
      </c>
      <c r="B10" s="2" t="s">
        <v>20</v>
      </c>
      <c r="C10" s="1" t="s">
        <v>238</v>
      </c>
      <c r="D10" s="1" t="s">
        <v>239</v>
      </c>
      <c r="E10" s="1">
        <v>1096323849</v>
      </c>
      <c r="F10" s="1">
        <v>17891077235</v>
      </c>
      <c r="G10" s="1" t="s">
        <v>240</v>
      </c>
      <c r="H10" s="1">
        <v>40</v>
      </c>
      <c r="I10" s="1">
        <v>32</v>
      </c>
      <c r="J10" s="1" t="s">
        <v>71</v>
      </c>
      <c r="K10" s="1">
        <f t="shared" si="0"/>
        <v>256</v>
      </c>
    </row>
    <row r="11" spans="1:11">
      <c r="A11" s="2"/>
      <c r="B11" s="2" t="s">
        <v>20</v>
      </c>
      <c r="C11" s="1" t="s">
        <v>241</v>
      </c>
      <c r="D11" s="1" t="s">
        <v>242</v>
      </c>
      <c r="E11" s="1">
        <v>2758656997</v>
      </c>
      <c r="F11" s="1">
        <v>13612095414</v>
      </c>
      <c r="G11" s="1" t="s">
        <v>214</v>
      </c>
      <c r="H11" s="1">
        <v>41</v>
      </c>
      <c r="I11" s="1">
        <v>32</v>
      </c>
      <c r="J11" s="1" t="s">
        <v>71</v>
      </c>
      <c r="K11" s="1">
        <f t="shared" si="0"/>
        <v>256</v>
      </c>
    </row>
    <row r="12" spans="1:11">
      <c r="A12" s="2" t="s">
        <v>306</v>
      </c>
      <c r="B12" s="2" t="s">
        <v>20</v>
      </c>
      <c r="C12" s="1" t="s">
        <v>327</v>
      </c>
      <c r="D12" s="4" t="s">
        <v>328</v>
      </c>
      <c r="E12" s="1">
        <v>2657916297</v>
      </c>
      <c r="F12" s="1"/>
      <c r="G12" s="1"/>
      <c r="H12" s="1">
        <v>40</v>
      </c>
      <c r="I12" s="3">
        <v>33</v>
      </c>
      <c r="J12" s="1" t="str">
        <f t="shared" si="1"/>
        <v>是</v>
      </c>
      <c r="K12" s="1">
        <f t="shared" si="0"/>
        <v>264</v>
      </c>
    </row>
    <row r="13" spans="1:11">
      <c r="A13" s="2" t="s">
        <v>411</v>
      </c>
      <c r="B13" s="2" t="s">
        <v>20</v>
      </c>
      <c r="C13" s="1" t="s">
        <v>437</v>
      </c>
      <c r="D13" s="1" t="s">
        <v>425</v>
      </c>
      <c r="E13" s="1">
        <v>1330833249</v>
      </c>
      <c r="F13" s="1">
        <v>18397785972</v>
      </c>
      <c r="G13" s="1" t="s">
        <v>426</v>
      </c>
      <c r="H13" s="1">
        <v>39</v>
      </c>
      <c r="I13" s="1">
        <v>39</v>
      </c>
      <c r="J13" s="1" t="s">
        <v>71</v>
      </c>
      <c r="K13" s="1">
        <f t="shared" si="0"/>
        <v>312</v>
      </c>
    </row>
    <row r="14" spans="1:11">
      <c r="A14" s="2" t="s">
        <v>11</v>
      </c>
      <c r="B14" s="2" t="s">
        <v>20</v>
      </c>
      <c r="C14" s="1" t="s">
        <v>13</v>
      </c>
      <c r="D14" s="1" t="s">
        <v>21</v>
      </c>
      <c r="E14" s="1">
        <v>3416200752</v>
      </c>
      <c r="F14" s="1">
        <v>18145977129</v>
      </c>
      <c r="G14" s="1" t="s">
        <v>22</v>
      </c>
      <c r="H14" s="1">
        <v>32</v>
      </c>
      <c r="I14" s="3">
        <v>32</v>
      </c>
      <c r="J14" s="1" t="str">
        <f t="shared" si="1"/>
        <v>是</v>
      </c>
      <c r="K14" s="1">
        <f t="shared" si="0"/>
        <v>256</v>
      </c>
    </row>
    <row r="15" spans="1:11">
      <c r="A15" s="2" t="s">
        <v>33</v>
      </c>
      <c r="B15" s="2" t="s">
        <v>20</v>
      </c>
      <c r="C15" s="1" t="s">
        <v>41</v>
      </c>
      <c r="D15" s="4" t="s">
        <v>42</v>
      </c>
      <c r="E15" s="3">
        <v>2757468163</v>
      </c>
      <c r="F15" s="3">
        <v>13228069016</v>
      </c>
      <c r="G15" s="4" t="s">
        <v>43</v>
      </c>
      <c r="H15" s="1">
        <v>40</v>
      </c>
      <c r="I15" s="3">
        <v>16</v>
      </c>
      <c r="J15" s="1" t="str">
        <f t="shared" si="1"/>
        <v>否</v>
      </c>
      <c r="K15" s="1">
        <f t="shared" si="0"/>
        <v>128</v>
      </c>
    </row>
    <row r="16" spans="1:11">
      <c r="A16" s="2" t="s">
        <v>396</v>
      </c>
      <c r="B16" s="2" t="s">
        <v>175</v>
      </c>
      <c r="C16" s="1" t="s">
        <v>82</v>
      </c>
      <c r="D16" s="1" t="s">
        <v>397</v>
      </c>
      <c r="E16" s="1">
        <v>3230895335</v>
      </c>
      <c r="F16" s="1">
        <v>19376683137</v>
      </c>
      <c r="G16" s="1" t="s">
        <v>398</v>
      </c>
      <c r="H16" s="1">
        <v>36</v>
      </c>
      <c r="I16" s="1">
        <v>36</v>
      </c>
      <c r="J16" s="1" t="s">
        <v>71</v>
      </c>
      <c r="K16" s="1">
        <f t="shared" si="0"/>
        <v>288</v>
      </c>
    </row>
    <row r="17" spans="1:11">
      <c r="A17" s="2"/>
      <c r="B17" s="2" t="s">
        <v>175</v>
      </c>
      <c r="C17" s="1" t="s">
        <v>85</v>
      </c>
      <c r="D17" s="1" t="s">
        <v>399</v>
      </c>
      <c r="E17" s="1">
        <v>1321523759</v>
      </c>
      <c r="F17" s="1">
        <v>13135322726</v>
      </c>
      <c r="G17" s="1" t="s">
        <v>400</v>
      </c>
      <c r="H17" s="1">
        <v>36</v>
      </c>
      <c r="I17" s="1">
        <v>36</v>
      </c>
      <c r="J17" s="1" t="s">
        <v>71</v>
      </c>
      <c r="K17" s="1">
        <f t="shared" si="0"/>
        <v>288</v>
      </c>
    </row>
    <row r="18" spans="1:11">
      <c r="A18" s="2"/>
      <c r="B18" s="2" t="s">
        <v>175</v>
      </c>
      <c r="C18" s="1" t="s">
        <v>438</v>
      </c>
      <c r="D18" s="1" t="s">
        <v>401</v>
      </c>
      <c r="E18" s="1">
        <v>2022601747</v>
      </c>
      <c r="F18" s="1">
        <v>13187025001</v>
      </c>
      <c r="G18" s="1" t="s">
        <v>402</v>
      </c>
      <c r="H18" s="1">
        <v>36</v>
      </c>
      <c r="I18" s="1">
        <v>36</v>
      </c>
      <c r="J18" s="1" t="str">
        <f t="shared" ref="J18:J22" si="2">IF(I18/H18&lt;0.5,"否","是")</f>
        <v>是</v>
      </c>
      <c r="K18" s="1">
        <f t="shared" si="0"/>
        <v>288</v>
      </c>
    </row>
    <row r="19" spans="1:11">
      <c r="A19" s="2" t="s">
        <v>54</v>
      </c>
      <c r="B19" s="2" t="s">
        <v>20</v>
      </c>
      <c r="C19" s="1" t="s">
        <v>55</v>
      </c>
      <c r="D19" s="1" t="s">
        <v>56</v>
      </c>
      <c r="E19" s="1">
        <v>2159135638</v>
      </c>
      <c r="F19" s="1">
        <v>16692237232</v>
      </c>
      <c r="G19" s="1" t="s">
        <v>57</v>
      </c>
      <c r="H19" s="1">
        <v>24</v>
      </c>
      <c r="I19" s="1">
        <v>24</v>
      </c>
      <c r="J19" s="1" t="str">
        <f t="shared" si="2"/>
        <v>是</v>
      </c>
      <c r="K19" s="1">
        <f t="shared" si="0"/>
        <v>192</v>
      </c>
    </row>
    <row r="20" spans="1:11">
      <c r="A20" s="2" t="s">
        <v>339</v>
      </c>
      <c r="B20" s="2" t="s">
        <v>20</v>
      </c>
      <c r="C20" s="1" t="s">
        <v>343</v>
      </c>
      <c r="D20" s="1" t="s">
        <v>344</v>
      </c>
      <c r="E20" s="1">
        <v>3421859632</v>
      </c>
      <c r="F20" s="1">
        <v>18563222094</v>
      </c>
      <c r="G20" s="1" t="s">
        <v>345</v>
      </c>
      <c r="H20" s="1">
        <v>40</v>
      </c>
      <c r="I20" s="1">
        <v>39</v>
      </c>
      <c r="J20" s="1" t="str">
        <f t="shared" si="2"/>
        <v>是</v>
      </c>
      <c r="K20" s="1">
        <f t="shared" si="0"/>
        <v>312</v>
      </c>
    </row>
    <row r="21" spans="1:11">
      <c r="A21" s="2" t="s">
        <v>386</v>
      </c>
      <c r="B21" s="2" t="s">
        <v>20</v>
      </c>
      <c r="C21" s="1" t="s">
        <v>390</v>
      </c>
      <c r="D21" s="4" t="s">
        <v>37</v>
      </c>
      <c r="E21" s="3">
        <v>3804146726</v>
      </c>
      <c r="F21" s="3">
        <v>18948403507</v>
      </c>
      <c r="G21" s="4" t="s">
        <v>171</v>
      </c>
      <c r="H21" s="1">
        <v>42</v>
      </c>
      <c r="I21" s="3">
        <v>14</v>
      </c>
      <c r="J21" s="1" t="str">
        <f t="shared" si="2"/>
        <v>否</v>
      </c>
      <c r="K21" s="1">
        <f t="shared" si="0"/>
        <v>112</v>
      </c>
    </row>
    <row r="22" spans="1:11">
      <c r="A22" s="2" t="s">
        <v>208</v>
      </c>
      <c r="B22" s="1" t="s">
        <v>12</v>
      </c>
      <c r="C22" s="1" t="s">
        <v>209</v>
      </c>
      <c r="D22" s="1" t="s">
        <v>210</v>
      </c>
      <c r="E22" s="1">
        <v>2948460056</v>
      </c>
      <c r="F22" s="1">
        <v>13786454420</v>
      </c>
      <c r="G22" s="1" t="s">
        <v>211</v>
      </c>
      <c r="H22" s="1">
        <v>31</v>
      </c>
      <c r="I22" s="3">
        <v>31</v>
      </c>
      <c r="J22" s="1" t="str">
        <f t="shared" si="2"/>
        <v>是</v>
      </c>
      <c r="K22" s="1">
        <f t="shared" si="0"/>
        <v>248</v>
      </c>
    </row>
    <row r="23" spans="1:11">
      <c r="A23" s="2" t="s">
        <v>296</v>
      </c>
      <c r="B23" s="2" t="s">
        <v>12</v>
      </c>
      <c r="C23" s="1" t="s">
        <v>297</v>
      </c>
      <c r="D23" s="1" t="s">
        <v>298</v>
      </c>
      <c r="E23" s="1">
        <v>3446613439</v>
      </c>
      <c r="F23" s="1">
        <v>18386712602</v>
      </c>
      <c r="G23" s="1" t="s">
        <v>299</v>
      </c>
      <c r="H23" s="1">
        <v>52</v>
      </c>
      <c r="I23" s="3">
        <v>46</v>
      </c>
      <c r="J23" s="1" t="s">
        <v>71</v>
      </c>
      <c r="K23" s="1">
        <v>368</v>
      </c>
    </row>
    <row r="24" spans="1:11">
      <c r="A24" s="2"/>
      <c r="B24" s="2" t="s">
        <v>12</v>
      </c>
      <c r="C24" s="1" t="s">
        <v>303</v>
      </c>
      <c r="D24" s="4" t="s">
        <v>304</v>
      </c>
      <c r="E24" s="1">
        <v>2970916216</v>
      </c>
      <c r="F24" s="1">
        <v>19957406136</v>
      </c>
      <c r="G24" s="1" t="s">
        <v>305</v>
      </c>
      <c r="H24" s="1">
        <v>46</v>
      </c>
      <c r="I24" s="3">
        <v>46</v>
      </c>
      <c r="J24" s="1" t="s">
        <v>71</v>
      </c>
      <c r="K24" s="1">
        <v>368</v>
      </c>
    </row>
    <row r="25" spans="1:11">
      <c r="A25" s="2" t="s">
        <v>329</v>
      </c>
      <c r="B25" s="1" t="s">
        <v>20</v>
      </c>
      <c r="C25" s="1" t="s">
        <v>336</v>
      </c>
      <c r="D25" s="1" t="s">
        <v>337</v>
      </c>
      <c r="E25" s="1">
        <v>2545043778</v>
      </c>
      <c r="F25" s="1">
        <v>17872536116</v>
      </c>
      <c r="G25" s="1" t="s">
        <v>338</v>
      </c>
      <c r="H25" s="1">
        <v>32</v>
      </c>
      <c r="I25" s="1">
        <v>23</v>
      </c>
      <c r="J25" s="1" t="s">
        <v>71</v>
      </c>
      <c r="K25" s="1">
        <f t="shared" ref="K25:K27" si="3">I25*8</f>
        <v>184</v>
      </c>
    </row>
    <row r="26" spans="1:11">
      <c r="A26" s="2" t="s">
        <v>353</v>
      </c>
      <c r="B26" s="2" t="s">
        <v>12</v>
      </c>
      <c r="C26" s="1" t="s">
        <v>354</v>
      </c>
      <c r="D26" s="1" t="s">
        <v>355</v>
      </c>
      <c r="E26" s="1">
        <v>1536916946</v>
      </c>
      <c r="F26" s="1">
        <v>17680329792</v>
      </c>
      <c r="G26" s="1" t="s">
        <v>356</v>
      </c>
      <c r="H26" s="3">
        <v>24</v>
      </c>
      <c r="I26" s="3">
        <v>21</v>
      </c>
      <c r="J26" s="1" t="str">
        <f>IF(I26/H26&lt;0.5,"否","是")</f>
        <v>是</v>
      </c>
      <c r="K26" s="1">
        <f t="shared" si="3"/>
        <v>168</v>
      </c>
    </row>
    <row r="27" spans="1:11">
      <c r="A27" s="2"/>
      <c r="B27" s="2" t="s">
        <v>12</v>
      </c>
      <c r="C27" s="1" t="s">
        <v>357</v>
      </c>
      <c r="D27" s="1" t="s">
        <v>358</v>
      </c>
      <c r="E27" s="1">
        <v>264500297</v>
      </c>
      <c r="F27" s="1">
        <v>13290617689</v>
      </c>
      <c r="G27" s="1" t="s">
        <v>359</v>
      </c>
      <c r="H27" s="1">
        <v>29</v>
      </c>
      <c r="I27" s="1">
        <v>21</v>
      </c>
      <c r="J27" s="1" t="s">
        <v>71</v>
      </c>
      <c r="K27" s="1">
        <f t="shared" si="3"/>
        <v>168</v>
      </c>
    </row>
  </sheetData>
  <mergeCells count="6">
    <mergeCell ref="A3:A5"/>
    <mergeCell ref="A6:A7"/>
    <mergeCell ref="A10:A11"/>
    <mergeCell ref="A16:A18"/>
    <mergeCell ref="A23:A24"/>
    <mergeCell ref="A26:A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view="pageBreakPreview" zoomScaleNormal="100" topLeftCell="A27" workbookViewId="0">
      <selection activeCell="C141" sqref="A1:C144"/>
    </sheetView>
  </sheetViews>
  <sheetFormatPr defaultColWidth="8.72727272727273" defaultRowHeight="14" outlineLevelCol="3"/>
  <cols>
    <col min="1" max="1" width="32" customWidth="1"/>
    <col min="3" max="3" width="34.2727272727273" customWidth="1"/>
    <col min="4" max="4" width="9.72727272727273" customWidth="1"/>
  </cols>
  <sheetData>
    <row r="1" spans="1:4">
      <c r="A1" s="5" t="s">
        <v>0</v>
      </c>
      <c r="B1" s="5" t="s">
        <v>1</v>
      </c>
      <c r="C1" s="5" t="s">
        <v>2</v>
      </c>
      <c r="D1" s="6"/>
    </row>
    <row r="2" spans="1:4">
      <c r="A2" s="5" t="s">
        <v>11</v>
      </c>
      <c r="B2" s="5" t="s">
        <v>12</v>
      </c>
      <c r="C2" s="5" t="s">
        <v>13</v>
      </c>
      <c r="D2" s="6"/>
    </row>
    <row r="3" spans="1:4">
      <c r="A3" s="5"/>
      <c r="B3" s="5"/>
      <c r="C3" s="5" t="s">
        <v>16</v>
      </c>
      <c r="D3" s="6"/>
    </row>
    <row r="4" spans="1:4">
      <c r="A4" s="5"/>
      <c r="B4" s="5" t="s">
        <v>20</v>
      </c>
      <c r="C4" s="5" t="s">
        <v>13</v>
      </c>
      <c r="D4" s="6"/>
    </row>
    <row r="5" spans="1:4">
      <c r="A5" s="5"/>
      <c r="B5" s="5"/>
      <c r="C5" s="5" t="s">
        <v>24</v>
      </c>
      <c r="D5" s="6"/>
    </row>
    <row r="6" spans="1:4">
      <c r="A6" s="5"/>
      <c r="B6" s="5"/>
      <c r="C6" s="5" t="s">
        <v>27</v>
      </c>
      <c r="D6" s="6"/>
    </row>
    <row r="7" spans="1:4">
      <c r="A7" s="5"/>
      <c r="B7" s="5"/>
      <c r="C7" s="5" t="s">
        <v>30</v>
      </c>
      <c r="D7" s="6"/>
    </row>
    <row r="8" spans="1:4">
      <c r="A8" s="5" t="s">
        <v>33</v>
      </c>
      <c r="B8" s="5" t="s">
        <v>20</v>
      </c>
      <c r="C8" s="5" t="s">
        <v>34</v>
      </c>
      <c r="D8" s="6"/>
    </row>
    <row r="9" spans="1:4">
      <c r="A9" s="5"/>
      <c r="B9" s="5"/>
      <c r="C9" s="5" t="s">
        <v>38</v>
      </c>
      <c r="D9" s="6"/>
    </row>
    <row r="10" spans="1:4">
      <c r="A10" s="5"/>
      <c r="B10" s="5"/>
      <c r="C10" s="5" t="s">
        <v>41</v>
      </c>
      <c r="D10" s="6"/>
    </row>
    <row r="11" spans="1:4">
      <c r="A11" s="5"/>
      <c r="B11" s="5"/>
      <c r="C11" s="5" t="s">
        <v>44</v>
      </c>
      <c r="D11" s="6"/>
    </row>
    <row r="12" spans="1:4">
      <c r="A12" s="5"/>
      <c r="B12" s="5"/>
      <c r="C12" s="5" t="s">
        <v>48</v>
      </c>
      <c r="D12" s="6"/>
    </row>
    <row r="13" spans="1:4">
      <c r="A13" s="5"/>
      <c r="B13" s="5"/>
      <c r="C13" s="5" t="s">
        <v>51</v>
      </c>
      <c r="D13" s="6"/>
    </row>
    <row r="14" spans="1:4">
      <c r="A14" s="5" t="s">
        <v>54</v>
      </c>
      <c r="B14" s="5" t="s">
        <v>20</v>
      </c>
      <c r="C14" s="5" t="s">
        <v>55</v>
      </c>
      <c r="D14" s="6"/>
    </row>
    <row r="15" spans="1:4">
      <c r="A15" s="5"/>
      <c r="B15" s="5"/>
      <c r="C15" s="5" t="s">
        <v>59</v>
      </c>
      <c r="D15" s="6"/>
    </row>
    <row r="16" spans="1:4">
      <c r="A16" s="5"/>
      <c r="B16" s="5"/>
      <c r="C16" s="5" t="s">
        <v>62</v>
      </c>
      <c r="D16" s="6"/>
    </row>
    <row r="17" spans="1:4">
      <c r="A17" s="5"/>
      <c r="B17" s="5"/>
      <c r="C17" s="5" t="s">
        <v>65</v>
      </c>
      <c r="D17" s="6"/>
    </row>
    <row r="18" spans="1:4">
      <c r="A18" s="5" t="s">
        <v>67</v>
      </c>
      <c r="B18" s="5" t="s">
        <v>12</v>
      </c>
      <c r="C18" s="5" t="s">
        <v>68</v>
      </c>
      <c r="D18" s="6"/>
    </row>
    <row r="19" spans="1:4">
      <c r="A19" s="5"/>
      <c r="B19" s="5"/>
      <c r="C19" s="5" t="s">
        <v>72</v>
      </c>
      <c r="D19" s="6"/>
    </row>
    <row r="20" spans="1:4">
      <c r="A20" s="5"/>
      <c r="B20" s="5"/>
      <c r="C20" s="5" t="s">
        <v>75</v>
      </c>
      <c r="D20" s="6"/>
    </row>
    <row r="21" spans="1:4">
      <c r="A21" s="5"/>
      <c r="B21" s="5" t="s">
        <v>20</v>
      </c>
      <c r="C21" s="5" t="s">
        <v>78</v>
      </c>
      <c r="D21" s="6"/>
    </row>
    <row r="22" spans="1:4">
      <c r="A22" s="5"/>
      <c r="B22" s="5"/>
      <c r="C22" s="5" t="s">
        <v>82</v>
      </c>
      <c r="D22" s="6"/>
    </row>
    <row r="23" spans="1:4">
      <c r="A23" s="5"/>
      <c r="B23" s="5"/>
      <c r="C23" s="5" t="s">
        <v>85</v>
      </c>
      <c r="D23" s="6"/>
    </row>
    <row r="24" spans="1:4">
      <c r="A24" s="5"/>
      <c r="B24" s="5"/>
      <c r="C24" s="5" t="s">
        <v>68</v>
      </c>
      <c r="D24" s="6"/>
    </row>
    <row r="25" spans="1:4">
      <c r="A25" s="5"/>
      <c r="B25" s="5"/>
      <c r="C25" s="5" t="s">
        <v>90</v>
      </c>
      <c r="D25" s="6"/>
    </row>
    <row r="26" spans="1:4">
      <c r="A26" s="5"/>
      <c r="B26" s="5"/>
      <c r="C26" s="5" t="s">
        <v>93</v>
      </c>
      <c r="D26" s="6"/>
    </row>
    <row r="27" spans="1:4">
      <c r="A27" s="5"/>
      <c r="B27" s="5"/>
      <c r="C27" s="5" t="s">
        <v>96</v>
      </c>
      <c r="D27" s="6"/>
    </row>
    <row r="28" spans="1:4">
      <c r="A28" s="5"/>
      <c r="B28" s="5"/>
      <c r="C28" s="5" t="s">
        <v>99</v>
      </c>
      <c r="D28" s="6"/>
    </row>
    <row r="29" spans="1:4">
      <c r="A29" s="5"/>
      <c r="B29" s="5"/>
      <c r="C29" s="5" t="s">
        <v>72</v>
      </c>
      <c r="D29" s="6"/>
    </row>
    <row r="30" spans="1:4">
      <c r="A30" s="5"/>
      <c r="B30" s="5"/>
      <c r="C30" s="5" t="s">
        <v>75</v>
      </c>
      <c r="D30" s="6"/>
    </row>
    <row r="31" spans="1:4">
      <c r="A31" s="5" t="s">
        <v>106</v>
      </c>
      <c r="B31" s="5" t="s">
        <v>107</v>
      </c>
      <c r="C31" s="5" t="s">
        <v>108</v>
      </c>
      <c r="D31" s="6"/>
    </row>
    <row r="32" spans="1:4">
      <c r="A32" s="5"/>
      <c r="B32" s="5"/>
      <c r="C32" s="5" t="s">
        <v>111</v>
      </c>
      <c r="D32" s="6"/>
    </row>
    <row r="33" spans="1:4">
      <c r="A33" s="5"/>
      <c r="B33" s="5" t="s">
        <v>12</v>
      </c>
      <c r="C33" s="5" t="s">
        <v>114</v>
      </c>
      <c r="D33" s="6"/>
    </row>
    <row r="34" spans="1:4">
      <c r="A34" s="5"/>
      <c r="B34" s="5"/>
      <c r="C34" s="5" t="s">
        <v>118</v>
      </c>
      <c r="D34" s="6"/>
    </row>
    <row r="35" spans="1:4">
      <c r="A35" s="5"/>
      <c r="B35" s="5" t="s">
        <v>20</v>
      </c>
      <c r="C35" s="5" t="s">
        <v>108</v>
      </c>
      <c r="D35" s="6"/>
    </row>
    <row r="36" spans="1:4">
      <c r="A36" s="5"/>
      <c r="B36" s="5"/>
      <c r="C36" s="5" t="s">
        <v>124</v>
      </c>
      <c r="D36" s="6"/>
    </row>
    <row r="37" spans="1:4">
      <c r="A37" s="5"/>
      <c r="B37" s="5"/>
      <c r="C37" s="5" t="s">
        <v>127</v>
      </c>
      <c r="D37" s="6"/>
    </row>
    <row r="38" spans="1:4">
      <c r="A38" s="5"/>
      <c r="B38" s="5"/>
      <c r="C38" s="5" t="s">
        <v>131</v>
      </c>
      <c r="D38" s="6"/>
    </row>
    <row r="39" spans="1:4">
      <c r="A39" s="5"/>
      <c r="B39" s="5"/>
      <c r="C39" s="5" t="s">
        <v>114</v>
      </c>
      <c r="D39" s="6"/>
    </row>
    <row r="40" spans="1:4">
      <c r="A40" s="5"/>
      <c r="B40" s="5"/>
      <c r="C40" s="5" t="s">
        <v>118</v>
      </c>
      <c r="D40" s="6"/>
    </row>
    <row r="41" spans="1:4">
      <c r="A41" s="5"/>
      <c r="B41" s="5"/>
      <c r="C41" s="5" t="s">
        <v>138</v>
      </c>
      <c r="D41" s="6"/>
    </row>
    <row r="42" spans="1:4">
      <c r="A42" s="5" t="s">
        <v>141</v>
      </c>
      <c r="B42" s="5" t="s">
        <v>12</v>
      </c>
      <c r="C42" s="5" t="s">
        <v>142</v>
      </c>
      <c r="D42" s="6"/>
    </row>
    <row r="43" spans="1:4">
      <c r="A43" s="5"/>
      <c r="B43" s="5"/>
      <c r="C43" s="5" t="s">
        <v>145</v>
      </c>
      <c r="D43" s="6"/>
    </row>
    <row r="44" spans="1:4">
      <c r="A44" s="5"/>
      <c r="B44" s="5"/>
      <c r="C44" s="5" t="s">
        <v>148</v>
      </c>
      <c r="D44" s="6"/>
    </row>
    <row r="45" spans="1:4">
      <c r="A45" s="5"/>
      <c r="B45" s="5"/>
      <c r="C45" s="5" t="s">
        <v>150</v>
      </c>
      <c r="D45" s="6"/>
    </row>
    <row r="46" spans="1:4">
      <c r="A46" s="5"/>
      <c r="B46" s="5"/>
      <c r="C46" s="5" t="s">
        <v>153</v>
      </c>
      <c r="D46" s="6"/>
    </row>
    <row r="47" spans="1:4">
      <c r="A47" s="5" t="s">
        <v>141</v>
      </c>
      <c r="B47" s="5" t="s">
        <v>20</v>
      </c>
      <c r="C47" s="5" t="s">
        <v>156</v>
      </c>
      <c r="D47" s="6"/>
    </row>
    <row r="48" spans="1:4">
      <c r="A48" s="5"/>
      <c r="B48" s="5"/>
      <c r="C48" s="5" t="s">
        <v>159</v>
      </c>
      <c r="D48" s="6"/>
    </row>
    <row r="49" spans="1:4">
      <c r="A49" s="5"/>
      <c r="B49" s="5"/>
      <c r="C49" s="5" t="s">
        <v>163</v>
      </c>
      <c r="D49" s="6"/>
    </row>
    <row r="50" spans="1:4">
      <c r="A50" s="5"/>
      <c r="B50" s="5"/>
      <c r="C50" s="5" t="s">
        <v>167</v>
      </c>
      <c r="D50" s="6"/>
    </row>
    <row r="51" spans="1:4">
      <c r="A51" s="5"/>
      <c r="B51" s="5"/>
      <c r="C51" s="5" t="s">
        <v>148</v>
      </c>
      <c r="D51" s="6"/>
    </row>
    <row r="52" spans="1:4">
      <c r="A52" s="5"/>
      <c r="B52" s="5"/>
      <c r="C52" s="5" t="s">
        <v>153</v>
      </c>
      <c r="D52" s="6"/>
    </row>
    <row r="53" spans="1:4">
      <c r="A53" s="5" t="s">
        <v>174</v>
      </c>
      <c r="B53" s="5" t="s">
        <v>175</v>
      </c>
      <c r="C53" s="5" t="s">
        <v>176</v>
      </c>
      <c r="D53" s="6"/>
    </row>
    <row r="54" spans="1:4">
      <c r="A54" s="5"/>
      <c r="B54" s="5" t="s">
        <v>12</v>
      </c>
      <c r="C54" s="5" t="s">
        <v>179</v>
      </c>
      <c r="D54" s="6"/>
    </row>
    <row r="55" spans="1:4">
      <c r="A55" s="5"/>
      <c r="B55" s="5"/>
      <c r="C55" s="5" t="s">
        <v>182</v>
      </c>
      <c r="D55" s="6"/>
    </row>
    <row r="56" spans="1:4">
      <c r="A56" s="5"/>
      <c r="B56" s="5" t="s">
        <v>20</v>
      </c>
      <c r="C56" s="5" t="s">
        <v>185</v>
      </c>
      <c r="D56" s="6"/>
    </row>
    <row r="57" spans="1:4">
      <c r="A57" s="5"/>
      <c r="B57" s="5"/>
      <c r="C57" s="5" t="s">
        <v>189</v>
      </c>
      <c r="D57" s="6"/>
    </row>
    <row r="58" spans="1:4">
      <c r="A58" s="5"/>
      <c r="B58" s="5"/>
      <c r="C58" s="5" t="s">
        <v>192</v>
      </c>
      <c r="D58" s="6"/>
    </row>
    <row r="59" spans="1:4">
      <c r="A59" s="5"/>
      <c r="B59" s="5"/>
      <c r="C59" s="5" t="s">
        <v>194</v>
      </c>
      <c r="D59" s="6"/>
    </row>
    <row r="60" spans="1:4">
      <c r="A60" s="5"/>
      <c r="B60" s="5"/>
      <c r="C60" s="5" t="s">
        <v>176</v>
      </c>
      <c r="D60" s="6"/>
    </row>
    <row r="61" spans="1:4">
      <c r="A61" s="5"/>
      <c r="B61" s="5"/>
      <c r="C61" s="5" t="s">
        <v>179</v>
      </c>
      <c r="D61" s="6"/>
    </row>
    <row r="62" spans="1:4">
      <c r="A62" s="5"/>
      <c r="B62" s="5"/>
      <c r="C62" s="5" t="s">
        <v>199</v>
      </c>
      <c r="D62" s="6"/>
    </row>
    <row r="63" spans="1:4">
      <c r="A63" s="5"/>
      <c r="B63" s="5"/>
      <c r="C63" s="5" t="s">
        <v>201</v>
      </c>
      <c r="D63" s="6"/>
    </row>
    <row r="64" spans="1:4">
      <c r="A64" s="5"/>
      <c r="B64" s="5"/>
      <c r="C64" s="5" t="s">
        <v>204</v>
      </c>
      <c r="D64" s="6"/>
    </row>
    <row r="65" spans="1:4">
      <c r="A65" s="5"/>
      <c r="B65" s="5"/>
      <c r="C65" s="5" t="s">
        <v>206</v>
      </c>
      <c r="D65" s="6"/>
    </row>
    <row r="66" spans="1:4">
      <c r="A66" s="5" t="s">
        <v>208</v>
      </c>
      <c r="B66" s="5" t="s">
        <v>12</v>
      </c>
      <c r="C66" s="5" t="s">
        <v>209</v>
      </c>
      <c r="D66" s="6"/>
    </row>
    <row r="67" spans="1:4">
      <c r="A67" s="5"/>
      <c r="B67" s="5" t="s">
        <v>20</v>
      </c>
      <c r="C67" s="5" t="s">
        <v>212</v>
      </c>
      <c r="D67" s="6"/>
    </row>
    <row r="68" spans="1:4">
      <c r="A68" s="5"/>
      <c r="B68" s="5"/>
      <c r="C68" s="5" t="s">
        <v>215</v>
      </c>
      <c r="D68" s="6"/>
    </row>
    <row r="69" spans="1:4">
      <c r="A69" s="5" t="s">
        <v>218</v>
      </c>
      <c r="B69" s="5" t="s">
        <v>107</v>
      </c>
      <c r="C69" s="5" t="s">
        <v>219</v>
      </c>
      <c r="D69" s="6"/>
    </row>
    <row r="70" spans="1:4">
      <c r="A70" s="5"/>
      <c r="B70" s="5"/>
      <c r="C70" s="5" t="s">
        <v>223</v>
      </c>
      <c r="D70" s="6"/>
    </row>
    <row r="71" spans="1:4">
      <c r="A71" s="5"/>
      <c r="B71" s="5" t="s">
        <v>12</v>
      </c>
      <c r="C71" s="5" t="s">
        <v>226</v>
      </c>
      <c r="D71" s="6"/>
    </row>
    <row r="72" spans="1:4">
      <c r="A72" s="5"/>
      <c r="B72" s="5"/>
      <c r="C72" s="5" t="s">
        <v>229</v>
      </c>
      <c r="D72" s="6"/>
    </row>
    <row r="73" spans="1:4">
      <c r="A73" s="5"/>
      <c r="B73" s="5"/>
      <c r="C73" s="5" t="s">
        <v>232</v>
      </c>
      <c r="D73" s="6"/>
    </row>
    <row r="74" spans="1:4">
      <c r="A74" s="5"/>
      <c r="B74" s="5"/>
      <c r="C74" s="5" t="s">
        <v>235</v>
      </c>
      <c r="D74" s="6"/>
    </row>
    <row r="75" spans="1:4">
      <c r="A75" s="5"/>
      <c r="B75" s="5" t="s">
        <v>20</v>
      </c>
      <c r="C75" s="5" t="s">
        <v>238</v>
      </c>
      <c r="D75" s="6"/>
    </row>
    <row r="76" spans="1:4">
      <c r="A76" s="5"/>
      <c r="B76" s="5"/>
      <c r="C76" s="5" t="s">
        <v>241</v>
      </c>
      <c r="D76" s="6"/>
    </row>
    <row r="77" spans="1:4">
      <c r="A77" s="5" t="s">
        <v>243</v>
      </c>
      <c r="B77" s="5" t="s">
        <v>107</v>
      </c>
      <c r="C77" s="5" t="s">
        <v>244</v>
      </c>
      <c r="D77" s="6"/>
    </row>
    <row r="78" spans="1:4">
      <c r="A78" s="5"/>
      <c r="B78" s="5"/>
      <c r="C78" s="5" t="s">
        <v>247</v>
      </c>
      <c r="D78" s="6"/>
    </row>
    <row r="79" spans="1:4">
      <c r="A79" s="5"/>
      <c r="B79" s="5" t="s">
        <v>12</v>
      </c>
      <c r="C79" s="5" t="s">
        <v>250</v>
      </c>
      <c r="D79" s="6"/>
    </row>
    <row r="80" spans="1:4">
      <c r="A80" s="5"/>
      <c r="B80" s="5"/>
      <c r="C80" s="5" t="s">
        <v>439</v>
      </c>
      <c r="D80" s="6"/>
    </row>
    <row r="81" spans="1:4">
      <c r="A81" s="5"/>
      <c r="B81" s="5"/>
      <c r="C81" s="5" t="s">
        <v>255</v>
      </c>
      <c r="D81" s="6"/>
    </row>
    <row r="82" spans="1:4">
      <c r="A82" s="5"/>
      <c r="B82" s="5"/>
      <c r="C82" s="5" t="s">
        <v>258</v>
      </c>
      <c r="D82" s="6"/>
    </row>
    <row r="83" spans="1:4">
      <c r="A83" s="5"/>
      <c r="B83" s="5"/>
      <c r="C83" s="5" t="s">
        <v>261</v>
      </c>
      <c r="D83" s="6"/>
    </row>
    <row r="84" spans="1:4">
      <c r="A84" s="5"/>
      <c r="B84" s="5"/>
      <c r="C84" s="5" t="s">
        <v>264</v>
      </c>
      <c r="D84" s="6"/>
    </row>
    <row r="85" spans="1:4">
      <c r="A85" s="5"/>
      <c r="B85" s="5" t="s">
        <v>20</v>
      </c>
      <c r="C85" s="5" t="s">
        <v>250</v>
      </c>
      <c r="D85" s="6"/>
    </row>
    <row r="86" spans="1:4">
      <c r="A86" s="5"/>
      <c r="B86" s="5"/>
      <c r="C86" s="5" t="s">
        <v>244</v>
      </c>
      <c r="D86" s="6"/>
    </row>
    <row r="87" spans="1:4">
      <c r="A87" s="5"/>
      <c r="B87" s="5"/>
      <c r="C87" s="5" t="s">
        <v>247</v>
      </c>
      <c r="D87" s="6"/>
    </row>
    <row r="88" spans="1:4">
      <c r="A88" s="5"/>
      <c r="B88" s="5"/>
      <c r="C88" s="5" t="s">
        <v>255</v>
      </c>
      <c r="D88" s="6"/>
    </row>
    <row r="89" spans="1:4">
      <c r="A89" s="5"/>
      <c r="B89" s="5"/>
      <c r="C89" s="5" t="s">
        <v>277</v>
      </c>
      <c r="D89" s="6"/>
    </row>
    <row r="90" spans="1:4">
      <c r="A90" s="5"/>
      <c r="B90" s="5"/>
      <c r="C90" s="5" t="s">
        <v>258</v>
      </c>
      <c r="D90" s="6"/>
    </row>
    <row r="91" spans="1:4">
      <c r="A91" s="5"/>
      <c r="B91" s="5"/>
      <c r="C91" s="5" t="s">
        <v>282</v>
      </c>
      <c r="D91" s="6"/>
    </row>
    <row r="92" spans="1:4">
      <c r="A92" s="5"/>
      <c r="B92" s="5"/>
      <c r="C92" s="5" t="s">
        <v>261</v>
      </c>
      <c r="D92" s="6"/>
    </row>
    <row r="93" spans="1:4">
      <c r="A93" s="5"/>
      <c r="B93" s="5"/>
      <c r="C93" s="5" t="s">
        <v>287</v>
      </c>
      <c r="D93" s="6"/>
    </row>
    <row r="94" spans="1:4">
      <c r="A94" s="5"/>
      <c r="B94" s="5"/>
      <c r="C94" s="5" t="s">
        <v>264</v>
      </c>
      <c r="D94" s="6"/>
    </row>
    <row r="95" spans="1:4">
      <c r="A95" s="5"/>
      <c r="B95" s="5"/>
      <c r="C95" s="5" t="s">
        <v>291</v>
      </c>
      <c r="D95" s="6"/>
    </row>
    <row r="96" spans="1:4">
      <c r="A96" s="5"/>
      <c r="B96" s="5"/>
      <c r="C96" s="5" t="s">
        <v>293</v>
      </c>
      <c r="D96" s="6"/>
    </row>
    <row r="97" spans="1:4">
      <c r="A97" s="5" t="s">
        <v>296</v>
      </c>
      <c r="B97" s="5" t="s">
        <v>12</v>
      </c>
      <c r="C97" s="5" t="s">
        <v>297</v>
      </c>
      <c r="D97" s="6"/>
    </row>
    <row r="98" spans="1:4">
      <c r="A98" s="5"/>
      <c r="B98" s="5"/>
      <c r="C98" s="5" t="s">
        <v>300</v>
      </c>
      <c r="D98" s="6"/>
    </row>
    <row r="99" spans="1:4">
      <c r="A99" s="5"/>
      <c r="B99" s="5"/>
      <c r="C99" s="5" t="s">
        <v>303</v>
      </c>
      <c r="D99" s="6"/>
    </row>
    <row r="100" spans="1:4">
      <c r="A100" s="5" t="s">
        <v>306</v>
      </c>
      <c r="B100" s="5" t="s">
        <v>107</v>
      </c>
      <c r="C100" s="5" t="s">
        <v>307</v>
      </c>
      <c r="D100" s="6"/>
    </row>
    <row r="101" spans="1:4">
      <c r="A101" s="5"/>
      <c r="B101" s="5"/>
      <c r="C101" s="5" t="s">
        <v>310</v>
      </c>
      <c r="D101" s="6"/>
    </row>
    <row r="102" spans="1:4">
      <c r="A102" s="5"/>
      <c r="B102" s="5" t="s">
        <v>12</v>
      </c>
      <c r="C102" s="5" t="s">
        <v>313</v>
      </c>
      <c r="D102" s="6"/>
    </row>
    <row r="103" spans="1:4">
      <c r="A103" s="5"/>
      <c r="B103" s="5"/>
      <c r="C103" s="5" t="s">
        <v>316</v>
      </c>
      <c r="D103" s="6"/>
    </row>
    <row r="104" spans="1:4">
      <c r="A104" s="5"/>
      <c r="B104" s="5" t="s">
        <v>20</v>
      </c>
      <c r="C104" s="5" t="s">
        <v>310</v>
      </c>
      <c r="D104" s="6"/>
    </row>
    <row r="105" spans="1:4">
      <c r="A105" s="5"/>
      <c r="B105" s="5"/>
      <c r="C105" s="5" t="s">
        <v>321</v>
      </c>
      <c r="D105" s="6"/>
    </row>
    <row r="106" spans="1:4">
      <c r="A106" s="5"/>
      <c r="B106" s="5"/>
      <c r="C106" s="5" t="s">
        <v>324</v>
      </c>
      <c r="D106" s="6"/>
    </row>
    <row r="107" spans="1:4">
      <c r="A107" s="5"/>
      <c r="B107" s="5"/>
      <c r="C107" s="5" t="s">
        <v>327</v>
      </c>
      <c r="D107" s="6"/>
    </row>
    <row r="108" spans="1:4">
      <c r="A108" s="5" t="s">
        <v>329</v>
      </c>
      <c r="B108" s="5" t="s">
        <v>175</v>
      </c>
      <c r="C108" s="5" t="s">
        <v>330</v>
      </c>
      <c r="D108" s="6"/>
    </row>
    <row r="109" spans="1:4">
      <c r="A109" s="5"/>
      <c r="B109" s="5" t="s">
        <v>107</v>
      </c>
      <c r="C109" s="5" t="s">
        <v>333</v>
      </c>
      <c r="D109" s="6"/>
    </row>
    <row r="110" spans="1:4">
      <c r="A110" s="5"/>
      <c r="B110" s="5" t="s">
        <v>20</v>
      </c>
      <c r="C110" s="5" t="s">
        <v>336</v>
      </c>
      <c r="D110" s="6"/>
    </row>
    <row r="111" spans="1:4">
      <c r="A111" s="5" t="s">
        <v>339</v>
      </c>
      <c r="B111" s="5" t="s">
        <v>107</v>
      </c>
      <c r="C111" s="5" t="s">
        <v>340</v>
      </c>
      <c r="D111" s="6"/>
    </row>
    <row r="112" spans="1:4">
      <c r="A112" s="5"/>
      <c r="B112" s="5" t="s">
        <v>20</v>
      </c>
      <c r="C112" s="5" t="s">
        <v>343</v>
      </c>
      <c r="D112" s="6"/>
    </row>
    <row r="113" spans="1:4">
      <c r="A113" s="5"/>
      <c r="B113" s="5"/>
      <c r="C113" s="5" t="s">
        <v>347</v>
      </c>
      <c r="D113" s="6"/>
    </row>
    <row r="114" spans="1:4">
      <c r="A114" s="5"/>
      <c r="B114" s="5"/>
      <c r="C114" s="5" t="s">
        <v>350</v>
      </c>
      <c r="D114" s="6"/>
    </row>
    <row r="115" spans="1:4">
      <c r="A115" s="5" t="s">
        <v>353</v>
      </c>
      <c r="B115" s="5" t="s">
        <v>12</v>
      </c>
      <c r="C115" s="5" t="s">
        <v>354</v>
      </c>
      <c r="D115" s="6"/>
    </row>
    <row r="116" spans="1:4">
      <c r="A116" s="5"/>
      <c r="B116" s="5"/>
      <c r="C116" s="5" t="s">
        <v>357</v>
      </c>
      <c r="D116" s="6"/>
    </row>
    <row r="117" spans="1:4">
      <c r="A117" s="5"/>
      <c r="B117" s="5" t="s">
        <v>20</v>
      </c>
      <c r="C117" s="5" t="s">
        <v>357</v>
      </c>
      <c r="D117" s="6"/>
    </row>
    <row r="118" spans="1:4">
      <c r="A118" s="5" t="s">
        <v>362</v>
      </c>
      <c r="B118" s="5" t="s">
        <v>175</v>
      </c>
      <c r="C118" s="5" t="s">
        <v>363</v>
      </c>
      <c r="D118" s="6"/>
    </row>
    <row r="119" spans="1:4">
      <c r="A119" s="5"/>
      <c r="B119" s="5" t="s">
        <v>107</v>
      </c>
      <c r="C119" s="5" t="s">
        <v>365</v>
      </c>
      <c r="D119" s="6"/>
    </row>
    <row r="120" spans="1:4">
      <c r="A120" s="5"/>
      <c r="B120" s="5" t="s">
        <v>12</v>
      </c>
      <c r="C120" s="5" t="s">
        <v>369</v>
      </c>
      <c r="D120" s="6"/>
    </row>
    <row r="121" spans="1:4">
      <c r="A121" s="5"/>
      <c r="B121" s="5"/>
      <c r="C121" s="5" t="s">
        <v>372</v>
      </c>
      <c r="D121" s="6"/>
    </row>
    <row r="122" spans="1:4">
      <c r="A122" s="5"/>
      <c r="B122" s="5"/>
      <c r="C122" s="5" t="s">
        <v>363</v>
      </c>
      <c r="D122" s="6"/>
    </row>
    <row r="123" spans="1:4">
      <c r="A123" s="5"/>
      <c r="B123" s="5"/>
      <c r="C123" s="5" t="s">
        <v>365</v>
      </c>
      <c r="D123" s="6"/>
    </row>
    <row r="124" spans="1:4">
      <c r="A124" s="5"/>
      <c r="B124" s="5" t="s">
        <v>20</v>
      </c>
      <c r="C124" s="5" t="s">
        <v>363</v>
      </c>
      <c r="D124" s="6"/>
    </row>
    <row r="125" spans="1:4">
      <c r="A125" s="5"/>
      <c r="B125" s="5"/>
      <c r="C125" s="5" t="s">
        <v>365</v>
      </c>
      <c r="D125" s="6"/>
    </row>
    <row r="126" spans="1:4">
      <c r="A126" s="5"/>
      <c r="B126" s="5"/>
      <c r="C126" s="5" t="s">
        <v>384</v>
      </c>
      <c r="D126" s="6"/>
    </row>
    <row r="127" spans="1:4">
      <c r="A127" s="5" t="s">
        <v>386</v>
      </c>
      <c r="B127" s="5" t="s">
        <v>20</v>
      </c>
      <c r="C127" s="5" t="s">
        <v>387</v>
      </c>
      <c r="D127" s="6"/>
    </row>
    <row r="128" spans="1:4">
      <c r="A128" s="5"/>
      <c r="B128" s="5"/>
      <c r="C128" s="5" t="s">
        <v>390</v>
      </c>
      <c r="D128" s="6"/>
    </row>
    <row r="129" spans="1:4">
      <c r="A129" s="5"/>
      <c r="B129" s="5"/>
      <c r="C129" s="5" t="s">
        <v>391</v>
      </c>
      <c r="D129" s="6"/>
    </row>
    <row r="130" spans="1:4">
      <c r="A130" s="5"/>
      <c r="B130" s="5"/>
      <c r="C130" s="5" t="s">
        <v>394</v>
      </c>
      <c r="D130" s="6"/>
    </row>
    <row r="131" spans="1:4">
      <c r="A131" s="5" t="s">
        <v>396</v>
      </c>
      <c r="B131" s="5" t="s">
        <v>175</v>
      </c>
      <c r="C131" s="5" t="s">
        <v>82</v>
      </c>
      <c r="D131" s="6"/>
    </row>
    <row r="132" spans="1:4">
      <c r="A132" s="5"/>
      <c r="B132" s="5"/>
      <c r="C132" s="5" t="s">
        <v>85</v>
      </c>
      <c r="D132" s="6"/>
    </row>
    <row r="133" spans="1:4">
      <c r="A133" s="5"/>
      <c r="B133" s="5"/>
      <c r="C133" s="5" t="s">
        <v>438</v>
      </c>
      <c r="D133" s="6"/>
    </row>
    <row r="134" spans="1:4">
      <c r="A134" s="5"/>
      <c r="B134" s="5"/>
      <c r="C134" s="5" t="s">
        <v>403</v>
      </c>
      <c r="D134" s="6"/>
    </row>
    <row r="135" spans="1:4">
      <c r="A135" s="5"/>
      <c r="B135" s="5" t="s">
        <v>107</v>
      </c>
      <c r="C135" s="5" t="s">
        <v>167</v>
      </c>
      <c r="D135" s="6"/>
    </row>
    <row r="136" spans="1:4">
      <c r="A136" s="5"/>
      <c r="B136" s="5" t="s">
        <v>20</v>
      </c>
      <c r="C136" s="5" t="s">
        <v>408</v>
      </c>
      <c r="D136" s="6"/>
    </row>
    <row r="137" spans="1:4">
      <c r="A137" s="5" t="s">
        <v>411</v>
      </c>
      <c r="B137" s="5" t="s">
        <v>175</v>
      </c>
      <c r="C137" s="5" t="s">
        <v>412</v>
      </c>
      <c r="D137" s="6"/>
    </row>
    <row r="138" spans="1:4">
      <c r="A138" s="5"/>
      <c r="B138" s="5" t="s">
        <v>12</v>
      </c>
      <c r="C138" s="5" t="s">
        <v>415</v>
      </c>
      <c r="D138" s="6"/>
    </row>
    <row r="139" spans="1:4">
      <c r="A139" s="5"/>
      <c r="B139" s="5"/>
      <c r="C139" s="5" t="s">
        <v>418</v>
      </c>
      <c r="D139" s="6"/>
    </row>
    <row r="140" spans="1:4">
      <c r="A140" s="5"/>
      <c r="B140" s="5"/>
      <c r="C140" s="5" t="s">
        <v>421</v>
      </c>
      <c r="D140" s="6"/>
    </row>
    <row r="141" spans="1:4">
      <c r="A141" s="5"/>
      <c r="B141" s="5" t="s">
        <v>20</v>
      </c>
      <c r="C141" s="5" t="s">
        <v>437</v>
      </c>
      <c r="D141" s="6"/>
    </row>
    <row r="142" spans="1:4">
      <c r="A142" s="5"/>
      <c r="B142" s="5"/>
      <c r="C142" s="5" t="s">
        <v>427</v>
      </c>
      <c r="D142" s="6"/>
    </row>
    <row r="143" spans="1:4">
      <c r="A143" s="5"/>
      <c r="B143" s="5"/>
      <c r="C143" s="5" t="s">
        <v>431</v>
      </c>
      <c r="D143" s="6"/>
    </row>
    <row r="144" spans="1:4">
      <c r="A144" s="5"/>
      <c r="B144" s="5"/>
      <c r="C144" s="5" t="s">
        <v>434</v>
      </c>
      <c r="D144" s="6"/>
    </row>
  </sheetData>
  <mergeCells count="52">
    <mergeCell ref="A2:A7"/>
    <mergeCell ref="A8:A13"/>
    <mergeCell ref="A14:A17"/>
    <mergeCell ref="A18:A30"/>
    <mergeCell ref="A31:A41"/>
    <mergeCell ref="A42:A46"/>
    <mergeCell ref="A47:A52"/>
    <mergeCell ref="A53:A65"/>
    <mergeCell ref="A66:A68"/>
    <mergeCell ref="A69:A76"/>
    <mergeCell ref="A77:A96"/>
    <mergeCell ref="A97:A99"/>
    <mergeCell ref="A100:A107"/>
    <mergeCell ref="A108:A110"/>
    <mergeCell ref="A111:A114"/>
    <mergeCell ref="A115:A117"/>
    <mergeCell ref="A118:A126"/>
    <mergeCell ref="A127:A130"/>
    <mergeCell ref="A131:A136"/>
    <mergeCell ref="A137:A144"/>
    <mergeCell ref="B2:B3"/>
    <mergeCell ref="B4:B7"/>
    <mergeCell ref="B8:B13"/>
    <mergeCell ref="B14:B17"/>
    <mergeCell ref="B18:B20"/>
    <mergeCell ref="B21:B30"/>
    <mergeCell ref="B31:B32"/>
    <mergeCell ref="B33:B34"/>
    <mergeCell ref="B35:B41"/>
    <mergeCell ref="B42:B46"/>
    <mergeCell ref="B47:B52"/>
    <mergeCell ref="B54:B55"/>
    <mergeCell ref="B56:B65"/>
    <mergeCell ref="B67:B68"/>
    <mergeCell ref="B69:B70"/>
    <mergeCell ref="B71:B74"/>
    <mergeCell ref="B75:B76"/>
    <mergeCell ref="B77:B78"/>
    <mergeCell ref="B79:B84"/>
    <mergeCell ref="B85:B96"/>
    <mergeCell ref="B97:B99"/>
    <mergeCell ref="B100:B101"/>
    <mergeCell ref="B102:B103"/>
    <mergeCell ref="B104:B107"/>
    <mergeCell ref="B112:B114"/>
    <mergeCell ref="B115:B116"/>
    <mergeCell ref="B120:B123"/>
    <mergeCell ref="B124:B126"/>
    <mergeCell ref="B127:B130"/>
    <mergeCell ref="B131:B134"/>
    <mergeCell ref="B138:B140"/>
    <mergeCell ref="B141:B144"/>
  </mergeCells>
  <pageMargins left="0.751388888888889" right="0.751388888888889" top="1" bottom="1" header="0.5" footer="0.5"/>
  <pageSetup paperSize="9" scale="99" orientation="portrait" blackAndWhite="1" horizontalDpi="600"/>
  <headerFooter/>
  <rowBreaks count="3" manualBreakCount="3">
    <brk id="46" max="3" man="1"/>
    <brk id="96" max="3" man="1"/>
    <brk id="1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45"/>
  <sheetViews>
    <sheetView workbookViewId="0">
      <selection activeCell="M4" sqref="M4:M22"/>
      <pivotSelection pane="bottomRight" showHeader="1" extendable="1" axis="axisRow" activeRow="18" activeCol="12" previousRow="18" previousCol="12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ColWidth="8.72727272727273" defaultRowHeight="14"/>
  <cols>
    <col min="1" max="1" width="32" customWidth="1"/>
    <col min="3" max="3" width="34.2727272727273" customWidth="1"/>
    <col min="4" max="4" width="9.54545454545454" customWidth="1"/>
    <col min="5" max="5" width="11.7272727272727" customWidth="1"/>
    <col min="6" max="6" width="15.1818181818182" customWidth="1"/>
    <col min="13" max="13" width="32"/>
    <col min="14" max="14" width="27.6363636363636"/>
    <col min="15" max="32" width="32"/>
    <col min="33" max="33" width="6.5454545454545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4">
      <c r="A2" s="2" t="s">
        <v>11</v>
      </c>
      <c r="B2" s="2" t="s">
        <v>12</v>
      </c>
      <c r="C2" s="1" t="s">
        <v>13</v>
      </c>
      <c r="D2" s="1" t="s">
        <v>14</v>
      </c>
      <c r="E2" s="1">
        <v>3257549975</v>
      </c>
      <c r="F2" s="1">
        <v>15083965761</v>
      </c>
      <c r="G2" s="1" t="s">
        <v>15</v>
      </c>
      <c r="H2" s="1">
        <v>43</v>
      </c>
      <c r="I2" s="1">
        <v>21</v>
      </c>
      <c r="J2" s="1" t="str">
        <f t="shared" ref="J2:J7" si="0">IF(I2/H2&lt;0.5,"否","是")</f>
        <v>否</v>
      </c>
      <c r="K2" s="1">
        <f t="shared" ref="K2:K7" si="1">I2*8</f>
        <v>168</v>
      </c>
    </row>
    <row r="3" hidden="1" spans="1:14">
      <c r="A3" s="2" t="s">
        <v>11</v>
      </c>
      <c r="B3" s="2" t="s">
        <v>12</v>
      </c>
      <c r="C3" s="1" t="s">
        <v>16</v>
      </c>
      <c r="D3" s="1" t="s">
        <v>17</v>
      </c>
      <c r="E3" s="1">
        <v>3990240445</v>
      </c>
      <c r="F3" s="1">
        <v>19082731940</v>
      </c>
      <c r="G3" s="1" t="s">
        <v>18</v>
      </c>
      <c r="H3" s="1">
        <v>32</v>
      </c>
      <c r="I3" s="1">
        <v>12</v>
      </c>
      <c r="J3" s="1" t="s">
        <v>19</v>
      </c>
      <c r="K3" s="1">
        <f t="shared" si="1"/>
        <v>96</v>
      </c>
      <c r="M3" t="s">
        <v>0</v>
      </c>
      <c r="N3" t="s">
        <v>440</v>
      </c>
    </row>
    <row r="4" spans="1:14">
      <c r="A4" s="2" t="s">
        <v>11</v>
      </c>
      <c r="B4" s="2" t="s">
        <v>20</v>
      </c>
      <c r="C4" s="1" t="s">
        <v>13</v>
      </c>
      <c r="D4" s="1" t="s">
        <v>21</v>
      </c>
      <c r="E4" s="1">
        <v>3416200752</v>
      </c>
      <c r="F4" s="1">
        <v>18145977129</v>
      </c>
      <c r="G4" s="1" t="s">
        <v>22</v>
      </c>
      <c r="H4" s="1">
        <v>32</v>
      </c>
      <c r="I4" s="3">
        <v>32</v>
      </c>
      <c r="J4" s="1" t="str">
        <f t="shared" si="0"/>
        <v>是</v>
      </c>
      <c r="K4" s="1">
        <f t="shared" si="1"/>
        <v>256</v>
      </c>
      <c r="L4" t="s">
        <v>23</v>
      </c>
      <c r="M4" t="s">
        <v>11</v>
      </c>
      <c r="N4">
        <v>6</v>
      </c>
    </row>
    <row r="5" spans="1:14">
      <c r="A5" s="2" t="s">
        <v>11</v>
      </c>
      <c r="B5" s="2" t="s">
        <v>20</v>
      </c>
      <c r="C5" s="1" t="s">
        <v>24</v>
      </c>
      <c r="D5" s="1" t="s">
        <v>25</v>
      </c>
      <c r="E5" s="1">
        <v>293584659</v>
      </c>
      <c r="F5" s="1">
        <v>17562451358</v>
      </c>
      <c r="G5" s="1" t="s">
        <v>26</v>
      </c>
      <c r="H5" s="1">
        <v>29</v>
      </c>
      <c r="I5" s="3">
        <v>29</v>
      </c>
      <c r="J5" s="1" t="str">
        <f t="shared" si="0"/>
        <v>是</v>
      </c>
      <c r="K5" s="1">
        <f t="shared" si="1"/>
        <v>232</v>
      </c>
      <c r="L5" t="s">
        <v>23</v>
      </c>
      <c r="M5" t="s">
        <v>33</v>
      </c>
      <c r="N5">
        <v>6</v>
      </c>
    </row>
    <row r="6" hidden="1" spans="1:14">
      <c r="A6" s="2" t="s">
        <v>11</v>
      </c>
      <c r="B6" s="2" t="s">
        <v>20</v>
      </c>
      <c r="C6" s="1" t="s">
        <v>27</v>
      </c>
      <c r="D6" s="1" t="s">
        <v>28</v>
      </c>
      <c r="E6" s="1">
        <v>2251732919</v>
      </c>
      <c r="F6" s="1">
        <v>19115211023</v>
      </c>
      <c r="G6" s="1" t="s">
        <v>29</v>
      </c>
      <c r="H6" s="1">
        <v>30</v>
      </c>
      <c r="I6" s="1">
        <v>14</v>
      </c>
      <c r="J6" s="1" t="str">
        <f t="shared" si="0"/>
        <v>否</v>
      </c>
      <c r="K6" s="1">
        <f t="shared" si="1"/>
        <v>112</v>
      </c>
      <c r="L6" t="s">
        <v>23</v>
      </c>
      <c r="M6" t="s">
        <v>54</v>
      </c>
      <c r="N6">
        <v>4</v>
      </c>
    </row>
    <row r="7" hidden="1" spans="1:14">
      <c r="A7" s="2" t="s">
        <v>11</v>
      </c>
      <c r="B7" s="2" t="s">
        <v>20</v>
      </c>
      <c r="C7" s="1" t="s">
        <v>30</v>
      </c>
      <c r="D7" s="1" t="s">
        <v>31</v>
      </c>
      <c r="E7" s="1">
        <v>2435317830</v>
      </c>
      <c r="F7" s="1">
        <v>18866862903</v>
      </c>
      <c r="G7" s="1" t="s">
        <v>32</v>
      </c>
      <c r="H7" s="1">
        <v>39</v>
      </c>
      <c r="I7" s="3">
        <v>10</v>
      </c>
      <c r="J7" s="1" t="str">
        <f t="shared" si="0"/>
        <v>否</v>
      </c>
      <c r="K7" s="1">
        <f t="shared" si="1"/>
        <v>80</v>
      </c>
      <c r="L7" t="s">
        <v>23</v>
      </c>
      <c r="M7" t="s">
        <v>67</v>
      </c>
      <c r="N7">
        <v>13</v>
      </c>
    </row>
    <row r="8" hidden="1" spans="1:14">
      <c r="A8" s="2" t="s">
        <v>33</v>
      </c>
      <c r="B8" s="2" t="s">
        <v>20</v>
      </c>
      <c r="C8" s="1" t="s">
        <v>34</v>
      </c>
      <c r="D8" s="1" t="s">
        <v>35</v>
      </c>
      <c r="E8" s="1">
        <v>2421595773</v>
      </c>
      <c r="F8" s="1">
        <v>18274653782</v>
      </c>
      <c r="G8" s="1" t="s">
        <v>36</v>
      </c>
      <c r="H8" s="1">
        <v>30</v>
      </c>
      <c r="I8" s="1">
        <v>10</v>
      </c>
      <c r="J8" s="1" t="s">
        <v>19</v>
      </c>
      <c r="K8" s="1">
        <v>95</v>
      </c>
      <c r="L8" t="s">
        <v>37</v>
      </c>
      <c r="M8" t="s">
        <v>106</v>
      </c>
      <c r="N8">
        <v>11</v>
      </c>
    </row>
    <row r="9" hidden="1" spans="1:14">
      <c r="A9" s="2" t="s">
        <v>33</v>
      </c>
      <c r="B9" s="2" t="s">
        <v>20</v>
      </c>
      <c r="C9" s="1" t="s">
        <v>38</v>
      </c>
      <c r="D9" s="4" t="s">
        <v>39</v>
      </c>
      <c r="E9" s="3">
        <v>2649668416</v>
      </c>
      <c r="F9" s="3">
        <v>13618411730</v>
      </c>
      <c r="G9" s="4" t="s">
        <v>40</v>
      </c>
      <c r="H9" s="1">
        <v>40</v>
      </c>
      <c r="I9" s="3">
        <v>15</v>
      </c>
      <c r="J9" s="1" t="str">
        <f t="shared" ref="J9:J17" si="2">IF(I9/H9&lt;0.5,"否","是")</f>
        <v>否</v>
      </c>
      <c r="K9" s="1">
        <f t="shared" ref="K9:K72" si="3">I9*8</f>
        <v>120</v>
      </c>
      <c r="L9" t="s">
        <v>37</v>
      </c>
      <c r="M9" t="s">
        <v>141</v>
      </c>
      <c r="N9">
        <v>11</v>
      </c>
    </row>
    <row r="10" hidden="1" spans="1:14">
      <c r="A10" s="2" t="s">
        <v>33</v>
      </c>
      <c r="B10" s="2" t="s">
        <v>20</v>
      </c>
      <c r="C10" s="1" t="s">
        <v>41</v>
      </c>
      <c r="D10" s="4" t="s">
        <v>42</v>
      </c>
      <c r="E10" s="3">
        <v>2757468163</v>
      </c>
      <c r="F10" s="3">
        <v>13228069016</v>
      </c>
      <c r="G10" s="4" t="s">
        <v>43</v>
      </c>
      <c r="H10" s="1">
        <v>40</v>
      </c>
      <c r="I10" s="3">
        <v>16</v>
      </c>
      <c r="J10" s="1" t="str">
        <f t="shared" si="2"/>
        <v>否</v>
      </c>
      <c r="K10" s="1">
        <f t="shared" si="3"/>
        <v>128</v>
      </c>
      <c r="L10" t="s">
        <v>37</v>
      </c>
      <c r="M10" t="s">
        <v>174</v>
      </c>
      <c r="N10">
        <v>13</v>
      </c>
    </row>
    <row r="11" hidden="1" spans="1:14">
      <c r="A11" s="2" t="s">
        <v>33</v>
      </c>
      <c r="B11" s="2" t="s">
        <v>20</v>
      </c>
      <c r="C11" s="1" t="s">
        <v>44</v>
      </c>
      <c r="D11" s="1" t="s">
        <v>45</v>
      </c>
      <c r="E11" s="1">
        <v>3193552022</v>
      </c>
      <c r="F11" s="1">
        <v>18269889855</v>
      </c>
      <c r="G11" s="1" t="s">
        <v>46</v>
      </c>
      <c r="H11" s="1">
        <v>40</v>
      </c>
      <c r="I11" s="1">
        <v>5</v>
      </c>
      <c r="J11" s="1" t="s">
        <v>19</v>
      </c>
      <c r="K11" s="1">
        <f t="shared" si="3"/>
        <v>40</v>
      </c>
      <c r="L11" t="s">
        <v>47</v>
      </c>
      <c r="M11" t="s">
        <v>208</v>
      </c>
      <c r="N11">
        <v>3</v>
      </c>
    </row>
    <row r="12" hidden="1" spans="1:14">
      <c r="A12" s="2" t="s">
        <v>33</v>
      </c>
      <c r="B12" s="2" t="s">
        <v>20</v>
      </c>
      <c r="C12" s="1" t="s">
        <v>48</v>
      </c>
      <c r="D12" s="1" t="s">
        <v>49</v>
      </c>
      <c r="E12" s="1">
        <v>227683692</v>
      </c>
      <c r="F12" s="1">
        <v>13991736364</v>
      </c>
      <c r="G12" s="1" t="s">
        <v>50</v>
      </c>
      <c r="H12" s="1">
        <v>41</v>
      </c>
      <c r="I12" s="1">
        <v>5</v>
      </c>
      <c r="J12" s="1" t="s">
        <v>19</v>
      </c>
      <c r="K12" s="1">
        <f t="shared" si="3"/>
        <v>40</v>
      </c>
      <c r="L12" t="s">
        <v>47</v>
      </c>
      <c r="M12" t="s">
        <v>218</v>
      </c>
      <c r="N12">
        <v>8</v>
      </c>
    </row>
    <row r="13" hidden="1" spans="1:14">
      <c r="A13" s="2" t="s">
        <v>33</v>
      </c>
      <c r="B13" s="2" t="s">
        <v>20</v>
      </c>
      <c r="C13" s="1" t="s">
        <v>51</v>
      </c>
      <c r="D13" s="1" t="s">
        <v>52</v>
      </c>
      <c r="E13" s="1">
        <v>1169437663</v>
      </c>
      <c r="F13" s="1">
        <v>15575233792</v>
      </c>
      <c r="G13" s="1" t="s">
        <v>53</v>
      </c>
      <c r="H13" s="1">
        <v>40</v>
      </c>
      <c r="I13" s="1">
        <v>5</v>
      </c>
      <c r="J13" s="1" t="s">
        <v>19</v>
      </c>
      <c r="K13" s="1">
        <f t="shared" si="3"/>
        <v>40</v>
      </c>
      <c r="L13" t="s">
        <v>47</v>
      </c>
      <c r="M13" t="s">
        <v>243</v>
      </c>
      <c r="N13">
        <v>21</v>
      </c>
    </row>
    <row r="14" spans="1:14">
      <c r="A14" s="2" t="s">
        <v>54</v>
      </c>
      <c r="B14" s="2" t="s">
        <v>20</v>
      </c>
      <c r="C14" s="1" t="s">
        <v>55</v>
      </c>
      <c r="D14" s="1" t="s">
        <v>56</v>
      </c>
      <c r="E14" s="1">
        <v>2159135638</v>
      </c>
      <c r="F14" s="1">
        <v>16692237232</v>
      </c>
      <c r="G14" s="1" t="s">
        <v>57</v>
      </c>
      <c r="H14" s="1">
        <v>24</v>
      </c>
      <c r="I14" s="1">
        <v>24</v>
      </c>
      <c r="J14" s="1" t="str">
        <f t="shared" si="2"/>
        <v>是</v>
      </c>
      <c r="K14" s="1">
        <f t="shared" si="3"/>
        <v>192</v>
      </c>
      <c r="L14" t="s">
        <v>58</v>
      </c>
      <c r="M14" t="s">
        <v>296</v>
      </c>
      <c r="N14">
        <v>3</v>
      </c>
    </row>
    <row r="15" spans="1:14">
      <c r="A15" s="2" t="s">
        <v>54</v>
      </c>
      <c r="B15" s="2" t="s">
        <v>20</v>
      </c>
      <c r="C15" s="1" t="s">
        <v>59</v>
      </c>
      <c r="D15" s="1" t="s">
        <v>60</v>
      </c>
      <c r="E15" s="1">
        <v>3331083794</v>
      </c>
      <c r="F15" s="1">
        <v>18867455807</v>
      </c>
      <c r="G15" s="1" t="s">
        <v>61</v>
      </c>
      <c r="H15" s="1">
        <v>23</v>
      </c>
      <c r="I15" s="3">
        <v>23</v>
      </c>
      <c r="J15" s="1" t="str">
        <f t="shared" si="2"/>
        <v>是</v>
      </c>
      <c r="K15" s="1">
        <f t="shared" si="3"/>
        <v>184</v>
      </c>
      <c r="L15" t="s">
        <v>58</v>
      </c>
      <c r="M15" t="s">
        <v>306</v>
      </c>
      <c r="N15">
        <v>8</v>
      </c>
    </row>
    <row r="16" spans="1:14">
      <c r="A16" s="2" t="s">
        <v>54</v>
      </c>
      <c r="B16" s="2" t="s">
        <v>20</v>
      </c>
      <c r="C16" s="1" t="s">
        <v>62</v>
      </c>
      <c r="D16" s="1" t="s">
        <v>63</v>
      </c>
      <c r="E16" s="1">
        <v>2763953712</v>
      </c>
      <c r="F16" s="1">
        <v>18873988172</v>
      </c>
      <c r="G16" s="1" t="s">
        <v>64</v>
      </c>
      <c r="H16" s="1">
        <v>23</v>
      </c>
      <c r="I16" s="3">
        <v>13</v>
      </c>
      <c r="J16" s="1" t="str">
        <f t="shared" si="2"/>
        <v>是</v>
      </c>
      <c r="K16" s="1">
        <f t="shared" si="3"/>
        <v>104</v>
      </c>
      <c r="L16" t="s">
        <v>58</v>
      </c>
      <c r="M16" t="s">
        <v>329</v>
      </c>
      <c r="N16">
        <v>3</v>
      </c>
    </row>
    <row r="17" spans="1:14">
      <c r="A17" s="2" t="s">
        <v>54</v>
      </c>
      <c r="B17" s="2" t="s">
        <v>20</v>
      </c>
      <c r="C17" s="1" t="s">
        <v>65</v>
      </c>
      <c r="D17" s="1" t="s">
        <v>66</v>
      </c>
      <c r="E17" s="1">
        <v>1914424122</v>
      </c>
      <c r="F17" s="1">
        <v>19918071620</v>
      </c>
      <c r="G17" s="1" t="s">
        <v>57</v>
      </c>
      <c r="H17" s="1">
        <v>25</v>
      </c>
      <c r="I17" s="3">
        <v>15</v>
      </c>
      <c r="J17" s="1" t="str">
        <f t="shared" si="2"/>
        <v>是</v>
      </c>
      <c r="K17" s="1">
        <f t="shared" si="3"/>
        <v>120</v>
      </c>
      <c r="L17" t="s">
        <v>58</v>
      </c>
      <c r="M17" t="s">
        <v>339</v>
      </c>
      <c r="N17">
        <v>4</v>
      </c>
    </row>
    <row r="18" spans="1:14">
      <c r="A18" s="2" t="s">
        <v>67</v>
      </c>
      <c r="B18" s="2" t="s">
        <v>12</v>
      </c>
      <c r="C18" s="1" t="s">
        <v>68</v>
      </c>
      <c r="D18" s="1" t="s">
        <v>69</v>
      </c>
      <c r="E18" s="1">
        <v>3553571838</v>
      </c>
      <c r="F18" s="1">
        <v>13843369538</v>
      </c>
      <c r="G18" s="1" t="s">
        <v>70</v>
      </c>
      <c r="H18" s="1">
        <v>39</v>
      </c>
      <c r="I18" s="1">
        <v>26</v>
      </c>
      <c r="J18" s="1" t="s">
        <v>71</v>
      </c>
      <c r="K18" s="1">
        <f t="shared" si="3"/>
        <v>208</v>
      </c>
      <c r="M18" t="s">
        <v>353</v>
      </c>
      <c r="N18">
        <v>3</v>
      </c>
    </row>
    <row r="19" spans="1:14">
      <c r="A19" s="2" t="s">
        <v>67</v>
      </c>
      <c r="B19" s="2" t="s">
        <v>12</v>
      </c>
      <c r="C19" s="1" t="s">
        <v>72</v>
      </c>
      <c r="D19" s="1" t="s">
        <v>73</v>
      </c>
      <c r="E19" s="1">
        <v>1503789340</v>
      </c>
      <c r="F19" s="1">
        <v>13566701895</v>
      </c>
      <c r="G19" s="1" t="s">
        <v>74</v>
      </c>
      <c r="H19" s="1">
        <v>49</v>
      </c>
      <c r="I19" s="1">
        <v>49</v>
      </c>
      <c r="J19" s="1" t="s">
        <v>71</v>
      </c>
      <c r="K19" s="1">
        <f t="shared" si="3"/>
        <v>392</v>
      </c>
      <c r="M19" t="s">
        <v>362</v>
      </c>
      <c r="N19">
        <v>9</v>
      </c>
    </row>
    <row r="20" spans="1:14">
      <c r="A20" s="2" t="s">
        <v>67</v>
      </c>
      <c r="B20" s="2" t="s">
        <v>12</v>
      </c>
      <c r="C20" s="1" t="s">
        <v>75</v>
      </c>
      <c r="D20" s="1" t="s">
        <v>76</v>
      </c>
      <c r="E20" s="1">
        <v>1728448928</v>
      </c>
      <c r="F20" s="1">
        <v>18620060525</v>
      </c>
      <c r="G20" s="1" t="s">
        <v>77</v>
      </c>
      <c r="H20" s="1">
        <v>51</v>
      </c>
      <c r="I20" s="1">
        <v>38</v>
      </c>
      <c r="J20" s="1" t="s">
        <v>71</v>
      </c>
      <c r="K20" s="1">
        <f t="shared" si="3"/>
        <v>304</v>
      </c>
      <c r="M20" t="s">
        <v>386</v>
      </c>
      <c r="N20">
        <v>4</v>
      </c>
    </row>
    <row r="21" spans="1:14">
      <c r="A21" s="2" t="s">
        <v>67</v>
      </c>
      <c r="B21" s="2" t="s">
        <v>20</v>
      </c>
      <c r="C21" s="1" t="s">
        <v>78</v>
      </c>
      <c r="D21" s="1" t="s">
        <v>79</v>
      </c>
      <c r="E21" s="1">
        <v>3255532126</v>
      </c>
      <c r="F21" s="1">
        <v>18102420206</v>
      </c>
      <c r="G21" s="1" t="s">
        <v>80</v>
      </c>
      <c r="H21" s="1">
        <v>37</v>
      </c>
      <c r="I21" s="3">
        <v>35</v>
      </c>
      <c r="J21" s="1" t="str">
        <f t="shared" ref="J21:J38" si="4">IF(I21/H21&lt;0.5,"否","是")</f>
        <v>是</v>
      </c>
      <c r="K21" s="1">
        <f t="shared" si="3"/>
        <v>280</v>
      </c>
      <c r="L21" t="s">
        <v>81</v>
      </c>
      <c r="M21" t="s">
        <v>396</v>
      </c>
      <c r="N21">
        <v>6</v>
      </c>
    </row>
    <row r="22" spans="1:14">
      <c r="A22" s="2" t="s">
        <v>67</v>
      </c>
      <c r="B22" s="2" t="s">
        <v>20</v>
      </c>
      <c r="C22" s="1" t="s">
        <v>82</v>
      </c>
      <c r="D22" s="1" t="s">
        <v>83</v>
      </c>
      <c r="E22" s="1">
        <v>3812344298</v>
      </c>
      <c r="F22" s="1">
        <v>19217420637</v>
      </c>
      <c r="G22" s="1" t="s">
        <v>84</v>
      </c>
      <c r="H22" s="1">
        <v>37</v>
      </c>
      <c r="I22" s="3">
        <v>28</v>
      </c>
      <c r="J22" s="1" t="str">
        <f t="shared" si="4"/>
        <v>是</v>
      </c>
      <c r="K22" s="1">
        <f t="shared" si="3"/>
        <v>224</v>
      </c>
      <c r="L22" t="s">
        <v>81</v>
      </c>
      <c r="M22" t="s">
        <v>411</v>
      </c>
      <c r="N22">
        <v>8</v>
      </c>
    </row>
    <row r="23" spans="1:14">
      <c r="A23" s="2" t="s">
        <v>67</v>
      </c>
      <c r="B23" s="2" t="s">
        <v>20</v>
      </c>
      <c r="C23" s="1" t="s">
        <v>85</v>
      </c>
      <c r="D23" s="1" t="s">
        <v>86</v>
      </c>
      <c r="E23" s="1">
        <v>417473370</v>
      </c>
      <c r="F23" s="1">
        <v>15762671192</v>
      </c>
      <c r="G23" s="1" t="s">
        <v>87</v>
      </c>
      <c r="H23" s="1">
        <v>38</v>
      </c>
      <c r="I23" s="3">
        <v>31</v>
      </c>
      <c r="J23" s="1" t="str">
        <f t="shared" si="4"/>
        <v>是</v>
      </c>
      <c r="K23" s="1">
        <f t="shared" si="3"/>
        <v>248</v>
      </c>
      <c r="L23" t="s">
        <v>81</v>
      </c>
      <c r="M23" t="s">
        <v>441</v>
      </c>
      <c r="N23">
        <v>144</v>
      </c>
    </row>
    <row r="24" spans="1:14">
      <c r="A24" s="2" t="s">
        <v>67</v>
      </c>
      <c r="B24" s="2" t="s">
        <v>20</v>
      </c>
      <c r="C24" s="1" t="s">
        <v>68</v>
      </c>
      <c r="D24" s="1" t="s">
        <v>88</v>
      </c>
      <c r="E24" s="1"/>
      <c r="F24" s="1">
        <v>15367604693</v>
      </c>
      <c r="G24" s="1" t="s">
        <v>89</v>
      </c>
      <c r="H24" s="1">
        <v>38</v>
      </c>
      <c r="I24" s="3">
        <v>32</v>
      </c>
      <c r="J24" s="1" t="str">
        <f t="shared" si="4"/>
        <v>是</v>
      </c>
      <c r="K24" s="1">
        <f t="shared" si="3"/>
        <v>256</v>
      </c>
      <c r="L24" t="s">
        <v>81</v>
      </c>
    </row>
    <row r="25" hidden="1" spans="1:14">
      <c r="A25" s="2" t="s">
        <v>67</v>
      </c>
      <c r="B25" s="2" t="s">
        <v>20</v>
      </c>
      <c r="C25" s="1" t="s">
        <v>90</v>
      </c>
      <c r="D25" s="1" t="s">
        <v>91</v>
      </c>
      <c r="E25" s="1">
        <v>3802239021</v>
      </c>
      <c r="F25" s="1">
        <v>17891073729</v>
      </c>
      <c r="G25" s="1" t="s">
        <v>92</v>
      </c>
      <c r="H25" s="1">
        <v>35</v>
      </c>
      <c r="I25" s="3">
        <v>11</v>
      </c>
      <c r="J25" s="1" t="str">
        <f t="shared" si="4"/>
        <v>否</v>
      </c>
      <c r="K25" s="1">
        <f t="shared" si="3"/>
        <v>88</v>
      </c>
      <c r="L25" t="s">
        <v>81</v>
      </c>
    </row>
    <row r="26" spans="1:14">
      <c r="A26" s="2" t="s">
        <v>67</v>
      </c>
      <c r="B26" s="2" t="s">
        <v>20</v>
      </c>
      <c r="C26" s="1" t="s">
        <v>93</v>
      </c>
      <c r="D26" s="1" t="s">
        <v>94</v>
      </c>
      <c r="E26" s="1">
        <v>2827257524</v>
      </c>
      <c r="F26" s="1">
        <v>13375487537</v>
      </c>
      <c r="G26" s="1" t="s">
        <v>95</v>
      </c>
      <c r="H26" s="1">
        <v>29</v>
      </c>
      <c r="I26" s="3">
        <v>29</v>
      </c>
      <c r="J26" s="1" t="str">
        <f t="shared" si="4"/>
        <v>是</v>
      </c>
      <c r="K26" s="1">
        <f t="shared" si="3"/>
        <v>232</v>
      </c>
      <c r="L26" t="s">
        <v>81</v>
      </c>
    </row>
    <row r="27" spans="1:14">
      <c r="A27" s="2" t="s">
        <v>67</v>
      </c>
      <c r="B27" s="2" t="s">
        <v>20</v>
      </c>
      <c r="C27" s="1" t="s">
        <v>96</v>
      </c>
      <c r="D27" s="1" t="s">
        <v>97</v>
      </c>
      <c r="E27" s="1">
        <v>3304528782</v>
      </c>
      <c r="F27" s="1">
        <v>18090425921</v>
      </c>
      <c r="G27" s="1" t="s">
        <v>98</v>
      </c>
      <c r="H27" s="1">
        <v>39</v>
      </c>
      <c r="I27" s="3">
        <v>38</v>
      </c>
      <c r="J27" s="1" t="str">
        <f t="shared" si="4"/>
        <v>是</v>
      </c>
      <c r="K27" s="1">
        <f t="shared" si="3"/>
        <v>304</v>
      </c>
      <c r="L27" t="s">
        <v>81</v>
      </c>
    </row>
    <row r="28" spans="1:14">
      <c r="A28" s="2" t="s">
        <v>67</v>
      </c>
      <c r="B28" s="2" t="s">
        <v>20</v>
      </c>
      <c r="C28" s="1" t="s">
        <v>99</v>
      </c>
      <c r="D28" s="1" t="s">
        <v>100</v>
      </c>
      <c r="E28" s="1">
        <v>2690674839</v>
      </c>
      <c r="F28" s="1">
        <v>19579688312</v>
      </c>
      <c r="G28" s="1" t="s">
        <v>101</v>
      </c>
      <c r="H28" s="1">
        <v>40</v>
      </c>
      <c r="I28" s="3">
        <v>20</v>
      </c>
      <c r="J28" s="1" t="str">
        <f t="shared" si="4"/>
        <v>是</v>
      </c>
      <c r="K28" s="1">
        <f t="shared" si="3"/>
        <v>160</v>
      </c>
      <c r="L28" t="s">
        <v>81</v>
      </c>
    </row>
    <row r="29" spans="1:14">
      <c r="A29" s="2" t="s">
        <v>67</v>
      </c>
      <c r="B29" s="2" t="s">
        <v>20</v>
      </c>
      <c r="C29" s="1" t="s">
        <v>72</v>
      </c>
      <c r="D29" s="1" t="s">
        <v>102</v>
      </c>
      <c r="E29" s="1">
        <v>1162622153</v>
      </c>
      <c r="F29" s="1">
        <v>18555680950</v>
      </c>
      <c r="G29" s="1" t="s">
        <v>103</v>
      </c>
      <c r="H29" s="1">
        <v>40</v>
      </c>
      <c r="I29" s="3">
        <v>36</v>
      </c>
      <c r="J29" s="1" t="str">
        <f t="shared" si="4"/>
        <v>是</v>
      </c>
      <c r="K29" s="1">
        <f t="shared" si="3"/>
        <v>288</v>
      </c>
      <c r="L29" t="s">
        <v>81</v>
      </c>
    </row>
    <row r="30" spans="1:14">
      <c r="A30" s="2" t="s">
        <v>67</v>
      </c>
      <c r="B30" s="2" t="s">
        <v>20</v>
      </c>
      <c r="C30" s="1" t="s">
        <v>75</v>
      </c>
      <c r="D30" s="1" t="s">
        <v>104</v>
      </c>
      <c r="E30" s="1">
        <v>2332601085</v>
      </c>
      <c r="F30" s="1">
        <v>15187526471</v>
      </c>
      <c r="G30" s="1" t="s">
        <v>105</v>
      </c>
      <c r="H30" s="1">
        <v>40</v>
      </c>
      <c r="I30" s="3">
        <v>38</v>
      </c>
      <c r="J30" s="1" t="str">
        <f t="shared" si="4"/>
        <v>是</v>
      </c>
      <c r="K30" s="1">
        <f t="shared" si="3"/>
        <v>304</v>
      </c>
      <c r="L30" t="s">
        <v>81</v>
      </c>
    </row>
    <row r="31" hidden="1" spans="1:14">
      <c r="A31" s="2" t="s">
        <v>106</v>
      </c>
      <c r="B31" s="2" t="s">
        <v>107</v>
      </c>
      <c r="C31" s="1" t="s">
        <v>108</v>
      </c>
      <c r="D31" s="1" t="s">
        <v>109</v>
      </c>
      <c r="E31" s="1">
        <v>3090014995</v>
      </c>
      <c r="F31" s="1">
        <v>18297750861</v>
      </c>
      <c r="G31" s="1" t="s">
        <v>110</v>
      </c>
      <c r="H31" s="1">
        <v>37</v>
      </c>
      <c r="I31" s="3">
        <v>8</v>
      </c>
      <c r="J31" s="1" t="str">
        <f t="shared" si="4"/>
        <v>否</v>
      </c>
      <c r="K31" s="1">
        <f t="shared" si="3"/>
        <v>64</v>
      </c>
    </row>
    <row r="32" hidden="1" spans="1:14">
      <c r="A32" s="2" t="s">
        <v>106</v>
      </c>
      <c r="B32" s="2" t="s">
        <v>107</v>
      </c>
      <c r="C32" s="1" t="s">
        <v>111</v>
      </c>
      <c r="D32" s="1" t="s">
        <v>112</v>
      </c>
      <c r="E32" s="1">
        <v>2535043573</v>
      </c>
      <c r="F32" s="1">
        <v>15197546889</v>
      </c>
      <c r="G32" s="1" t="s">
        <v>113</v>
      </c>
      <c r="H32" s="1">
        <v>42</v>
      </c>
      <c r="I32" s="1">
        <v>1</v>
      </c>
      <c r="J32" s="1" t="str">
        <f t="shared" si="4"/>
        <v>否</v>
      </c>
      <c r="K32" s="1">
        <f t="shared" si="3"/>
        <v>8</v>
      </c>
    </row>
    <row r="33" spans="1:12">
      <c r="A33" s="2" t="s">
        <v>106</v>
      </c>
      <c r="B33" s="2" t="s">
        <v>12</v>
      </c>
      <c r="C33" s="1" t="s">
        <v>114</v>
      </c>
      <c r="D33" s="1" t="s">
        <v>115</v>
      </c>
      <c r="E33" s="1">
        <v>2978227252</v>
      </c>
      <c r="F33" s="1">
        <v>18823283140</v>
      </c>
      <c r="G33" s="1" t="s">
        <v>116</v>
      </c>
      <c r="H33" s="1">
        <v>39</v>
      </c>
      <c r="I33" s="3">
        <v>25</v>
      </c>
      <c r="J33" s="1" t="str">
        <f t="shared" si="4"/>
        <v>是</v>
      </c>
      <c r="K33" s="1">
        <f t="shared" si="3"/>
        <v>200</v>
      </c>
      <c r="L33" t="s">
        <v>117</v>
      </c>
    </row>
    <row r="34" spans="1:12">
      <c r="A34" s="2" t="s">
        <v>106</v>
      </c>
      <c r="B34" s="2" t="s">
        <v>12</v>
      </c>
      <c r="C34" s="1" t="s">
        <v>118</v>
      </c>
      <c r="D34" s="4" t="s">
        <v>119</v>
      </c>
      <c r="E34" s="1">
        <v>2515384386</v>
      </c>
      <c r="F34" s="1">
        <v>17267106402</v>
      </c>
      <c r="G34" s="1" t="s">
        <v>120</v>
      </c>
      <c r="H34" s="1">
        <v>32</v>
      </c>
      <c r="I34" s="3">
        <v>16</v>
      </c>
      <c r="J34" s="1" t="str">
        <f t="shared" si="4"/>
        <v>是</v>
      </c>
      <c r="K34" s="1">
        <f t="shared" si="3"/>
        <v>128</v>
      </c>
      <c r="L34" t="s">
        <v>117</v>
      </c>
    </row>
    <row r="35" spans="1:12">
      <c r="A35" s="2" t="s">
        <v>106</v>
      </c>
      <c r="B35" s="2" t="s">
        <v>20</v>
      </c>
      <c r="C35" s="1" t="s">
        <v>108</v>
      </c>
      <c r="D35" s="1" t="s">
        <v>121</v>
      </c>
      <c r="E35" s="1">
        <v>3531491938</v>
      </c>
      <c r="F35" s="1">
        <v>13907646823</v>
      </c>
      <c r="G35" s="1" t="s">
        <v>122</v>
      </c>
      <c r="H35" s="1">
        <v>40</v>
      </c>
      <c r="I35" s="3">
        <v>28</v>
      </c>
      <c r="J35" s="1" t="str">
        <f t="shared" si="4"/>
        <v>是</v>
      </c>
      <c r="K35" s="1">
        <f t="shared" si="3"/>
        <v>224</v>
      </c>
      <c r="L35" t="s">
        <v>123</v>
      </c>
    </row>
    <row r="36" spans="1:12">
      <c r="A36" s="2" t="s">
        <v>106</v>
      </c>
      <c r="B36" s="2" t="s">
        <v>20</v>
      </c>
      <c r="C36" s="1" t="s">
        <v>124</v>
      </c>
      <c r="D36" s="1" t="s">
        <v>125</v>
      </c>
      <c r="E36" s="1">
        <v>2251243248</v>
      </c>
      <c r="F36" s="1">
        <v>18833054010</v>
      </c>
      <c r="G36" s="1" t="s">
        <v>126</v>
      </c>
      <c r="H36" s="1">
        <v>30</v>
      </c>
      <c r="I36" s="3">
        <v>27</v>
      </c>
      <c r="J36" s="1" t="str">
        <f t="shared" si="4"/>
        <v>是</v>
      </c>
      <c r="K36" s="1">
        <f t="shared" si="3"/>
        <v>216</v>
      </c>
      <c r="L36" t="s">
        <v>123</v>
      </c>
    </row>
    <row r="37" spans="1:12">
      <c r="A37" s="2" t="s">
        <v>106</v>
      </c>
      <c r="B37" s="2" t="s">
        <v>20</v>
      </c>
      <c r="C37" s="1" t="s">
        <v>127</v>
      </c>
      <c r="D37" s="1" t="s">
        <v>128</v>
      </c>
      <c r="E37" s="1">
        <v>3796359814</v>
      </c>
      <c r="F37" s="1">
        <v>15502218910</v>
      </c>
      <c r="G37" s="1" t="s">
        <v>129</v>
      </c>
      <c r="H37" s="1">
        <v>39</v>
      </c>
      <c r="I37" s="3">
        <v>33</v>
      </c>
      <c r="J37" s="1" t="str">
        <f t="shared" si="4"/>
        <v>是</v>
      </c>
      <c r="K37" s="1">
        <f t="shared" si="3"/>
        <v>264</v>
      </c>
      <c r="L37" t="s">
        <v>130</v>
      </c>
    </row>
    <row r="38" spans="1:12">
      <c r="A38" s="2" t="s">
        <v>106</v>
      </c>
      <c r="B38" s="2" t="s">
        <v>20</v>
      </c>
      <c r="C38" s="1" t="s">
        <v>131</v>
      </c>
      <c r="D38" s="4" t="s">
        <v>132</v>
      </c>
      <c r="E38" s="3">
        <v>480945264</v>
      </c>
      <c r="F38" s="3">
        <v>18711231668</v>
      </c>
      <c r="G38" s="4" t="s">
        <v>133</v>
      </c>
      <c r="H38" s="1">
        <v>39</v>
      </c>
      <c r="I38" s="3">
        <v>23</v>
      </c>
      <c r="J38" s="1" t="str">
        <f t="shared" si="4"/>
        <v>是</v>
      </c>
      <c r="K38" s="1">
        <f t="shared" si="3"/>
        <v>184</v>
      </c>
      <c r="L38" t="s">
        <v>130</v>
      </c>
    </row>
    <row r="39" spans="1:12">
      <c r="A39" s="2" t="s">
        <v>106</v>
      </c>
      <c r="B39" s="2" t="s">
        <v>20</v>
      </c>
      <c r="C39" s="1" t="s">
        <v>114</v>
      </c>
      <c r="D39" s="1" t="s">
        <v>134</v>
      </c>
      <c r="E39" s="1">
        <v>2428765394</v>
      </c>
      <c r="F39" s="1">
        <v>15097832683</v>
      </c>
      <c r="G39" s="1" t="s">
        <v>135</v>
      </c>
      <c r="H39" s="1">
        <v>40</v>
      </c>
      <c r="I39" s="1">
        <v>33</v>
      </c>
      <c r="J39" s="1" t="s">
        <v>71</v>
      </c>
      <c r="K39" s="1">
        <f t="shared" si="3"/>
        <v>264</v>
      </c>
      <c r="L39" t="s">
        <v>130</v>
      </c>
    </row>
    <row r="40" spans="1:12">
      <c r="A40" s="2" t="s">
        <v>106</v>
      </c>
      <c r="B40" s="2" t="s">
        <v>20</v>
      </c>
      <c r="C40" s="1" t="s">
        <v>118</v>
      </c>
      <c r="D40" s="1" t="s">
        <v>136</v>
      </c>
      <c r="E40" s="3">
        <v>1094164647</v>
      </c>
      <c r="F40" s="1">
        <v>18573223081</v>
      </c>
      <c r="G40" s="4" t="s">
        <v>137</v>
      </c>
      <c r="H40" s="1">
        <v>40</v>
      </c>
      <c r="I40" s="3">
        <v>34</v>
      </c>
      <c r="J40" s="1" t="str">
        <f t="shared" ref="J40:J48" si="5">IF(I40/H40&lt;0.5,"否","是")</f>
        <v>是</v>
      </c>
      <c r="K40" s="1">
        <f t="shared" si="3"/>
        <v>272</v>
      </c>
      <c r="L40" t="s">
        <v>130</v>
      </c>
    </row>
    <row r="41" hidden="1" spans="1:12">
      <c r="A41" s="2" t="s">
        <v>106</v>
      </c>
      <c r="B41" s="2" t="s">
        <v>20</v>
      </c>
      <c r="C41" s="1" t="s">
        <v>138</v>
      </c>
      <c r="D41" s="1" t="s">
        <v>139</v>
      </c>
      <c r="E41" s="1">
        <v>2429023907</v>
      </c>
      <c r="F41" s="1">
        <v>17897326722</v>
      </c>
      <c r="G41" s="1" t="s">
        <v>140</v>
      </c>
      <c r="H41" s="1">
        <v>38</v>
      </c>
      <c r="I41" s="1">
        <v>10</v>
      </c>
      <c r="J41" s="1" t="s">
        <v>19</v>
      </c>
      <c r="K41" s="1">
        <f t="shared" si="3"/>
        <v>80</v>
      </c>
      <c r="L41" t="s">
        <v>139</v>
      </c>
    </row>
    <row r="42" spans="1:12">
      <c r="A42" s="2" t="s">
        <v>141</v>
      </c>
      <c r="B42" s="2" t="s">
        <v>12</v>
      </c>
      <c r="C42" s="1" t="s">
        <v>142</v>
      </c>
      <c r="D42" s="1" t="s">
        <v>143</v>
      </c>
      <c r="E42" s="1">
        <v>577320391</v>
      </c>
      <c r="F42" s="1">
        <v>18773566950</v>
      </c>
      <c r="G42" s="1" t="s">
        <v>144</v>
      </c>
      <c r="H42" s="1">
        <v>30</v>
      </c>
      <c r="I42" s="3">
        <v>15</v>
      </c>
      <c r="J42" s="1" t="str">
        <f t="shared" si="5"/>
        <v>是</v>
      </c>
      <c r="K42" s="1">
        <f t="shared" si="3"/>
        <v>120</v>
      </c>
    </row>
    <row r="43" hidden="1" spans="1:12">
      <c r="A43" s="2" t="s">
        <v>141</v>
      </c>
      <c r="B43" s="2" t="s">
        <v>12</v>
      </c>
      <c r="C43" s="1" t="s">
        <v>145</v>
      </c>
      <c r="D43" s="1" t="s">
        <v>146</v>
      </c>
      <c r="E43" s="1">
        <v>2968169621</v>
      </c>
      <c r="F43" s="1">
        <v>15954615055</v>
      </c>
      <c r="G43" s="1" t="s">
        <v>147</v>
      </c>
      <c r="H43" s="1">
        <v>31</v>
      </c>
      <c r="I43" s="3">
        <v>2</v>
      </c>
      <c r="J43" s="1" t="str">
        <f t="shared" si="5"/>
        <v>否</v>
      </c>
      <c r="K43" s="1">
        <f t="shared" si="3"/>
        <v>16</v>
      </c>
    </row>
    <row r="44" spans="1:12">
      <c r="A44" s="2" t="s">
        <v>141</v>
      </c>
      <c r="B44" s="2" t="s">
        <v>12</v>
      </c>
      <c r="C44" s="1" t="s">
        <v>148</v>
      </c>
      <c r="D44" s="1" t="s">
        <v>117</v>
      </c>
      <c r="E44" s="1">
        <v>3026173184</v>
      </c>
      <c r="F44" s="1">
        <v>18570072301</v>
      </c>
      <c r="G44" s="1" t="s">
        <v>149</v>
      </c>
      <c r="H44" s="1">
        <v>35</v>
      </c>
      <c r="I44" s="3">
        <v>19</v>
      </c>
      <c r="J44" s="1" t="str">
        <f t="shared" si="5"/>
        <v>是</v>
      </c>
      <c r="K44" s="1">
        <f t="shared" si="3"/>
        <v>152</v>
      </c>
    </row>
    <row r="45" spans="1:12">
      <c r="A45" s="2" t="s">
        <v>141</v>
      </c>
      <c r="B45" s="2" t="s">
        <v>12</v>
      </c>
      <c r="C45" s="1" t="s">
        <v>150</v>
      </c>
      <c r="D45" s="1" t="s">
        <v>151</v>
      </c>
      <c r="E45" s="1">
        <v>2793708909</v>
      </c>
      <c r="F45" s="1">
        <v>17673398717</v>
      </c>
      <c r="G45" s="1" t="s">
        <v>152</v>
      </c>
      <c r="H45" s="1">
        <v>35</v>
      </c>
      <c r="I45" s="1">
        <v>25</v>
      </c>
      <c r="J45" s="1" t="str">
        <f t="shared" si="5"/>
        <v>是</v>
      </c>
      <c r="K45" s="1">
        <f t="shared" si="3"/>
        <v>200</v>
      </c>
      <c r="L45" t="s">
        <v>117</v>
      </c>
    </row>
    <row r="46" hidden="1" spans="1:12">
      <c r="A46" s="2" t="s">
        <v>141</v>
      </c>
      <c r="B46" s="2" t="s">
        <v>12</v>
      </c>
      <c r="C46" s="1" t="s">
        <v>153</v>
      </c>
      <c r="D46" s="1" t="s">
        <v>154</v>
      </c>
      <c r="E46" s="1">
        <v>3266424235</v>
      </c>
      <c r="F46" s="1">
        <v>18373621625</v>
      </c>
      <c r="G46" s="1" t="s">
        <v>155</v>
      </c>
      <c r="H46" s="1">
        <v>35</v>
      </c>
      <c r="I46" s="3">
        <v>13</v>
      </c>
      <c r="J46" s="1" t="str">
        <f t="shared" si="5"/>
        <v>否</v>
      </c>
      <c r="K46" s="1">
        <f t="shared" si="3"/>
        <v>104</v>
      </c>
    </row>
    <row r="47" spans="1:12">
      <c r="A47" s="2" t="s">
        <v>141</v>
      </c>
      <c r="B47" s="2" t="s">
        <v>20</v>
      </c>
      <c r="C47" s="1" t="s">
        <v>156</v>
      </c>
      <c r="D47" s="1" t="s">
        <v>157</v>
      </c>
      <c r="E47" s="1">
        <v>2947678084</v>
      </c>
      <c r="F47" s="1">
        <v>15526289309</v>
      </c>
      <c r="G47" s="1" t="s">
        <v>158</v>
      </c>
      <c r="H47" s="1">
        <v>40</v>
      </c>
      <c r="I47" s="3">
        <v>23</v>
      </c>
      <c r="J47" s="1" t="str">
        <f t="shared" si="5"/>
        <v>是</v>
      </c>
      <c r="K47" s="1">
        <f t="shared" si="3"/>
        <v>184</v>
      </c>
      <c r="L47" t="s">
        <v>47</v>
      </c>
    </row>
    <row r="48" spans="1:12">
      <c r="A48" s="2" t="s">
        <v>141</v>
      </c>
      <c r="B48" s="2" t="s">
        <v>20</v>
      </c>
      <c r="C48" s="1" t="s">
        <v>159</v>
      </c>
      <c r="D48" s="1" t="s">
        <v>160</v>
      </c>
      <c r="E48" s="1">
        <v>3911692608</v>
      </c>
      <c r="F48" s="1" t="s">
        <v>161</v>
      </c>
      <c r="G48" s="4" t="s">
        <v>162</v>
      </c>
      <c r="H48" s="1">
        <v>40</v>
      </c>
      <c r="I48" s="3">
        <v>22</v>
      </c>
      <c r="J48" s="1" t="str">
        <f t="shared" si="5"/>
        <v>是</v>
      </c>
      <c r="K48" s="1">
        <f t="shared" si="3"/>
        <v>176</v>
      </c>
      <c r="L48" t="s">
        <v>47</v>
      </c>
    </row>
    <row r="49" spans="1:12">
      <c r="A49" s="2" t="s">
        <v>141</v>
      </c>
      <c r="B49" s="2" t="s">
        <v>20</v>
      </c>
      <c r="C49" s="1" t="s">
        <v>163</v>
      </c>
      <c r="D49" s="1" t="s">
        <v>164</v>
      </c>
      <c r="E49" s="1">
        <v>2247934360</v>
      </c>
      <c r="F49" s="1">
        <v>17377959115</v>
      </c>
      <c r="G49" s="1" t="s">
        <v>165</v>
      </c>
      <c r="H49" s="1">
        <v>40</v>
      </c>
      <c r="I49" s="1">
        <v>26</v>
      </c>
      <c r="J49" s="1" t="s">
        <v>71</v>
      </c>
      <c r="K49" s="1">
        <f t="shared" si="3"/>
        <v>208</v>
      </c>
      <c r="L49" t="s">
        <v>166</v>
      </c>
    </row>
    <row r="50" spans="1:12">
      <c r="A50" s="2" t="s">
        <v>141</v>
      </c>
      <c r="B50" s="2" t="s">
        <v>20</v>
      </c>
      <c r="C50" s="1" t="s">
        <v>167</v>
      </c>
      <c r="D50" s="1" t="s">
        <v>168</v>
      </c>
      <c r="E50" s="1">
        <v>909927320</v>
      </c>
      <c r="F50" s="1">
        <v>13319562869</v>
      </c>
      <c r="G50" s="1" t="s">
        <v>169</v>
      </c>
      <c r="H50" s="1">
        <v>40</v>
      </c>
      <c r="I50" s="1">
        <v>31</v>
      </c>
      <c r="J50" s="1" t="s">
        <v>71</v>
      </c>
      <c r="K50" s="1">
        <f t="shared" si="3"/>
        <v>248</v>
      </c>
      <c r="L50" t="s">
        <v>166</v>
      </c>
    </row>
    <row r="51" hidden="1" spans="1:12">
      <c r="A51" s="2" t="s">
        <v>141</v>
      </c>
      <c r="B51" s="2" t="s">
        <v>20</v>
      </c>
      <c r="C51" s="1" t="s">
        <v>148</v>
      </c>
      <c r="D51" s="1" t="s">
        <v>170</v>
      </c>
      <c r="E51" s="1">
        <v>2236659706</v>
      </c>
      <c r="F51" s="1">
        <v>19318393341</v>
      </c>
      <c r="G51" s="1" t="s">
        <v>171</v>
      </c>
      <c r="H51" s="1">
        <v>40</v>
      </c>
      <c r="I51" s="1">
        <v>10</v>
      </c>
      <c r="J51" s="1" t="s">
        <v>19</v>
      </c>
      <c r="K51" s="1">
        <f t="shared" si="3"/>
        <v>80</v>
      </c>
      <c r="L51" t="s">
        <v>166</v>
      </c>
    </row>
    <row r="52" hidden="1" spans="1:12">
      <c r="A52" s="2" t="s">
        <v>141</v>
      </c>
      <c r="B52" s="2" t="s">
        <v>20</v>
      </c>
      <c r="C52" s="1" t="s">
        <v>153</v>
      </c>
      <c r="D52" s="1" t="s">
        <v>172</v>
      </c>
      <c r="E52" s="1">
        <v>1779613560</v>
      </c>
      <c r="F52" s="1">
        <v>18579508947</v>
      </c>
      <c r="G52" s="1" t="s">
        <v>173</v>
      </c>
      <c r="H52" s="1">
        <v>40</v>
      </c>
      <c r="I52" s="1">
        <v>9</v>
      </c>
      <c r="J52" s="1" t="s">
        <v>19</v>
      </c>
      <c r="K52" s="1">
        <f t="shared" si="3"/>
        <v>72</v>
      </c>
      <c r="L52" t="s">
        <v>166</v>
      </c>
    </row>
    <row r="53" spans="1:12">
      <c r="A53" s="2" t="s">
        <v>174</v>
      </c>
      <c r="B53" s="1" t="s">
        <v>175</v>
      </c>
      <c r="C53" s="1" t="s">
        <v>176</v>
      </c>
      <c r="D53" s="1" t="s">
        <v>177</v>
      </c>
      <c r="E53" s="1">
        <v>1836533605</v>
      </c>
      <c r="F53" s="1">
        <v>15523238030</v>
      </c>
      <c r="G53" s="1" t="s">
        <v>178</v>
      </c>
      <c r="H53" s="1">
        <v>36</v>
      </c>
      <c r="I53" s="1">
        <v>18</v>
      </c>
      <c r="J53" s="1" t="str">
        <f t="shared" ref="J53:J66" si="6">IF(I53/H53&lt;0.5,"否","是")</f>
        <v>是</v>
      </c>
      <c r="K53" s="1">
        <f t="shared" si="3"/>
        <v>144</v>
      </c>
    </row>
    <row r="54" hidden="1" spans="1:12">
      <c r="A54" s="2" t="s">
        <v>174</v>
      </c>
      <c r="B54" s="2" t="s">
        <v>12</v>
      </c>
      <c r="C54" s="1" t="s">
        <v>179</v>
      </c>
      <c r="D54" s="1" t="s">
        <v>180</v>
      </c>
      <c r="E54" s="1">
        <v>2549791301</v>
      </c>
      <c r="F54" s="1">
        <v>18678596204</v>
      </c>
      <c r="G54" s="1" t="s">
        <v>181</v>
      </c>
      <c r="H54" s="1">
        <v>34</v>
      </c>
      <c r="I54" s="1">
        <v>3</v>
      </c>
      <c r="J54" s="1" t="str">
        <f t="shared" si="6"/>
        <v>否</v>
      </c>
      <c r="K54" s="1">
        <f t="shared" si="3"/>
        <v>24</v>
      </c>
    </row>
    <row r="55" spans="1:12">
      <c r="A55" s="2" t="s">
        <v>174</v>
      </c>
      <c r="B55" s="2" t="s">
        <v>12</v>
      </c>
      <c r="C55" s="1" t="s">
        <v>182</v>
      </c>
      <c r="D55" s="1" t="s">
        <v>183</v>
      </c>
      <c r="E55" s="1">
        <v>1781997931</v>
      </c>
      <c r="F55" s="1">
        <v>15273283620</v>
      </c>
      <c r="G55" s="1" t="s">
        <v>184</v>
      </c>
      <c r="H55" s="1">
        <v>30</v>
      </c>
      <c r="I55" s="1">
        <v>18</v>
      </c>
      <c r="J55" s="1" t="s">
        <v>71</v>
      </c>
      <c r="K55" s="1">
        <f t="shared" si="3"/>
        <v>144</v>
      </c>
    </row>
    <row r="56" spans="1:12">
      <c r="A56" s="2" t="s">
        <v>174</v>
      </c>
      <c r="B56" s="2" t="s">
        <v>20</v>
      </c>
      <c r="C56" s="1" t="s">
        <v>185</v>
      </c>
      <c r="D56" s="1" t="s">
        <v>186</v>
      </c>
      <c r="E56" s="1">
        <v>177191828</v>
      </c>
      <c r="F56" s="1">
        <v>13367487585</v>
      </c>
      <c r="G56" s="1" t="s">
        <v>187</v>
      </c>
      <c r="H56" s="1">
        <v>36</v>
      </c>
      <c r="I56" s="3">
        <v>36</v>
      </c>
      <c r="J56" s="1" t="str">
        <f t="shared" si="6"/>
        <v>是</v>
      </c>
      <c r="K56" s="1">
        <f t="shared" si="3"/>
        <v>288</v>
      </c>
      <c r="L56" t="s">
        <v>188</v>
      </c>
    </row>
    <row r="57" spans="1:12">
      <c r="A57" s="2" t="s">
        <v>174</v>
      </c>
      <c r="B57" s="2" t="s">
        <v>20</v>
      </c>
      <c r="C57" s="1" t="s">
        <v>189</v>
      </c>
      <c r="D57" s="1" t="s">
        <v>190</v>
      </c>
      <c r="E57" s="1">
        <v>1135047439</v>
      </c>
      <c r="F57" s="1">
        <v>18174610648</v>
      </c>
      <c r="G57" s="1" t="s">
        <v>191</v>
      </c>
      <c r="H57" s="1">
        <v>36</v>
      </c>
      <c r="I57" s="3">
        <v>30</v>
      </c>
      <c r="J57" s="1" t="str">
        <f t="shared" si="6"/>
        <v>是</v>
      </c>
      <c r="K57" s="1">
        <f t="shared" si="3"/>
        <v>240</v>
      </c>
      <c r="L57" t="s">
        <v>188</v>
      </c>
    </row>
    <row r="58" spans="1:12">
      <c r="A58" s="2" t="s">
        <v>174</v>
      </c>
      <c r="B58" s="2" t="s">
        <v>20</v>
      </c>
      <c r="C58" s="1" t="s">
        <v>192</v>
      </c>
      <c r="D58" s="1" t="s">
        <v>193</v>
      </c>
      <c r="E58" s="1">
        <v>3460107356</v>
      </c>
      <c r="F58" s="1">
        <v>19896370338</v>
      </c>
      <c r="G58" s="1" t="s">
        <v>40</v>
      </c>
      <c r="H58" s="1">
        <v>36</v>
      </c>
      <c r="I58" s="3">
        <v>36</v>
      </c>
      <c r="J58" s="1" t="str">
        <f t="shared" si="6"/>
        <v>是</v>
      </c>
      <c r="K58" s="1">
        <f t="shared" si="3"/>
        <v>288</v>
      </c>
      <c r="L58" t="s">
        <v>188</v>
      </c>
    </row>
    <row r="59" spans="1:12">
      <c r="A59" s="2" t="s">
        <v>174</v>
      </c>
      <c r="B59" s="2" t="s">
        <v>20</v>
      </c>
      <c r="C59" s="1" t="s">
        <v>194</v>
      </c>
      <c r="D59" s="1" t="s">
        <v>195</v>
      </c>
      <c r="E59" s="1">
        <v>3321604766</v>
      </c>
      <c r="F59" s="1">
        <v>13012162335</v>
      </c>
      <c r="G59" s="1" t="s">
        <v>40</v>
      </c>
      <c r="H59" s="1">
        <v>36</v>
      </c>
      <c r="I59" s="3">
        <v>29</v>
      </c>
      <c r="J59" s="1" t="str">
        <f t="shared" si="6"/>
        <v>是</v>
      </c>
      <c r="K59" s="1">
        <f t="shared" si="3"/>
        <v>232</v>
      </c>
      <c r="L59" t="s">
        <v>188</v>
      </c>
    </row>
    <row r="60" spans="1:12">
      <c r="A60" s="2" t="s">
        <v>174</v>
      </c>
      <c r="B60" s="2" t="s">
        <v>20</v>
      </c>
      <c r="C60" s="1" t="s">
        <v>176</v>
      </c>
      <c r="D60" s="1" t="s">
        <v>196</v>
      </c>
      <c r="E60" s="1">
        <v>3566227305</v>
      </c>
      <c r="F60" s="1">
        <v>15723037458</v>
      </c>
      <c r="G60" s="1" t="s">
        <v>191</v>
      </c>
      <c r="H60" s="1">
        <v>37</v>
      </c>
      <c r="I60" s="3">
        <v>36</v>
      </c>
      <c r="J60" s="1" t="str">
        <f t="shared" si="6"/>
        <v>是</v>
      </c>
      <c r="K60" s="1">
        <f t="shared" si="3"/>
        <v>288</v>
      </c>
      <c r="L60" t="s">
        <v>188</v>
      </c>
    </row>
    <row r="61" hidden="1" spans="1:12">
      <c r="A61" s="2" t="s">
        <v>174</v>
      </c>
      <c r="B61" s="2" t="s">
        <v>20</v>
      </c>
      <c r="C61" s="1" t="s">
        <v>179</v>
      </c>
      <c r="D61" s="1" t="s">
        <v>197</v>
      </c>
      <c r="E61" s="1">
        <v>341078365</v>
      </c>
      <c r="F61" s="1">
        <v>13230029310</v>
      </c>
      <c r="G61" s="1" t="s">
        <v>198</v>
      </c>
      <c r="H61" s="1">
        <v>36</v>
      </c>
      <c r="I61" s="3">
        <v>2</v>
      </c>
      <c r="J61" s="1" t="str">
        <f t="shared" si="6"/>
        <v>否</v>
      </c>
      <c r="K61" s="1">
        <f t="shared" si="3"/>
        <v>16</v>
      </c>
      <c r="L61" t="s">
        <v>188</v>
      </c>
    </row>
    <row r="62" spans="1:12">
      <c r="A62" s="2" t="s">
        <v>174</v>
      </c>
      <c r="B62" s="2" t="s">
        <v>20</v>
      </c>
      <c r="C62" s="1" t="s">
        <v>199</v>
      </c>
      <c r="D62" s="1" t="s">
        <v>200</v>
      </c>
      <c r="E62" s="1">
        <v>3922687918</v>
      </c>
      <c r="F62" s="1">
        <v>17680262023</v>
      </c>
      <c r="G62" s="1" t="s">
        <v>191</v>
      </c>
      <c r="H62" s="1">
        <v>37</v>
      </c>
      <c r="I62" s="1">
        <v>35</v>
      </c>
      <c r="J62" s="1" t="str">
        <f t="shared" si="6"/>
        <v>是</v>
      </c>
      <c r="K62" s="1">
        <f t="shared" si="3"/>
        <v>280</v>
      </c>
      <c r="L62" t="s">
        <v>188</v>
      </c>
    </row>
    <row r="63" hidden="1" spans="1:12">
      <c r="A63" s="2" t="s">
        <v>174</v>
      </c>
      <c r="B63" s="2" t="s">
        <v>20</v>
      </c>
      <c r="C63" s="1" t="s">
        <v>201</v>
      </c>
      <c r="D63" s="1" t="s">
        <v>202</v>
      </c>
      <c r="E63" s="1">
        <v>3398288412</v>
      </c>
      <c r="F63" s="1">
        <v>18774087712</v>
      </c>
      <c r="G63" s="1" t="s">
        <v>203</v>
      </c>
      <c r="H63" s="1">
        <v>30</v>
      </c>
      <c r="I63" s="3">
        <v>11</v>
      </c>
      <c r="J63" s="1" t="str">
        <f t="shared" si="6"/>
        <v>否</v>
      </c>
      <c r="K63" s="1">
        <f t="shared" si="3"/>
        <v>88</v>
      </c>
      <c r="L63" t="s">
        <v>188</v>
      </c>
    </row>
    <row r="64" hidden="1" spans="1:12">
      <c r="A64" s="2" t="s">
        <v>174</v>
      </c>
      <c r="B64" s="2" t="s">
        <v>20</v>
      </c>
      <c r="C64" s="1" t="s">
        <v>204</v>
      </c>
      <c r="D64" s="1" t="s">
        <v>205</v>
      </c>
      <c r="E64" s="1">
        <v>2927173415</v>
      </c>
      <c r="F64" s="1">
        <v>13667433639</v>
      </c>
      <c r="G64" s="1" t="s">
        <v>191</v>
      </c>
      <c r="H64" s="1">
        <v>37</v>
      </c>
      <c r="I64" s="1">
        <v>18</v>
      </c>
      <c r="J64" s="1" t="str">
        <f t="shared" si="6"/>
        <v>否</v>
      </c>
      <c r="K64" s="1">
        <f t="shared" si="3"/>
        <v>144</v>
      </c>
      <c r="L64" t="s">
        <v>188</v>
      </c>
    </row>
    <row r="65" spans="1:12">
      <c r="A65" s="2" t="s">
        <v>174</v>
      </c>
      <c r="B65" s="2" t="s">
        <v>20</v>
      </c>
      <c r="C65" s="1" t="s">
        <v>206</v>
      </c>
      <c r="D65" s="1" t="s">
        <v>207</v>
      </c>
      <c r="E65" s="1">
        <v>2824515495</v>
      </c>
      <c r="F65" s="1">
        <v>19397825471</v>
      </c>
      <c r="G65" s="1" t="s">
        <v>191</v>
      </c>
      <c r="H65" s="1">
        <v>36</v>
      </c>
      <c r="I65" s="3">
        <v>23</v>
      </c>
      <c r="J65" s="1" t="str">
        <f t="shared" si="6"/>
        <v>是</v>
      </c>
      <c r="K65" s="1">
        <f t="shared" si="3"/>
        <v>184</v>
      </c>
      <c r="L65" t="s">
        <v>188</v>
      </c>
    </row>
    <row r="66" spans="1:12">
      <c r="A66" s="2" t="s">
        <v>208</v>
      </c>
      <c r="B66" s="1" t="s">
        <v>12</v>
      </c>
      <c r="C66" s="1" t="s">
        <v>209</v>
      </c>
      <c r="D66" s="1" t="s">
        <v>210</v>
      </c>
      <c r="E66" s="1">
        <v>2948460056</v>
      </c>
      <c r="F66" s="1">
        <v>13786454420</v>
      </c>
      <c r="G66" s="1" t="s">
        <v>211</v>
      </c>
      <c r="H66" s="1">
        <v>31</v>
      </c>
      <c r="I66" s="3">
        <v>31</v>
      </c>
      <c r="J66" s="1" t="str">
        <f t="shared" si="6"/>
        <v>是</v>
      </c>
      <c r="K66" s="1">
        <f t="shared" si="3"/>
        <v>248</v>
      </c>
    </row>
    <row r="67" hidden="1" spans="1:12">
      <c r="A67" s="2" t="s">
        <v>208</v>
      </c>
      <c r="B67" s="2" t="s">
        <v>20</v>
      </c>
      <c r="C67" s="1" t="s">
        <v>212</v>
      </c>
      <c r="D67" s="1" t="s">
        <v>213</v>
      </c>
      <c r="E67" s="1">
        <v>2584981348</v>
      </c>
      <c r="F67" s="1">
        <v>18874488322</v>
      </c>
      <c r="G67" s="1" t="s">
        <v>214</v>
      </c>
      <c r="H67" s="1">
        <v>39</v>
      </c>
      <c r="I67" s="1">
        <v>8</v>
      </c>
      <c r="J67" s="1" t="s">
        <v>19</v>
      </c>
      <c r="K67" s="1">
        <f t="shared" si="3"/>
        <v>64</v>
      </c>
      <c r="L67" t="s">
        <v>166</v>
      </c>
    </row>
    <row r="68" hidden="1" spans="1:12">
      <c r="A68" s="2" t="s">
        <v>208</v>
      </c>
      <c r="B68" s="2" t="s">
        <v>20</v>
      </c>
      <c r="C68" s="1" t="s">
        <v>215</v>
      </c>
      <c r="D68" s="1" t="s">
        <v>216</v>
      </c>
      <c r="E68" s="1">
        <v>3272554585</v>
      </c>
      <c r="F68" s="1">
        <v>19932059854</v>
      </c>
      <c r="G68" s="1" t="s">
        <v>217</v>
      </c>
      <c r="H68" s="1">
        <v>39</v>
      </c>
      <c r="I68" s="1">
        <v>6</v>
      </c>
      <c r="J68" s="1" t="s">
        <v>19</v>
      </c>
      <c r="K68" s="1">
        <f t="shared" si="3"/>
        <v>48</v>
      </c>
      <c r="L68" t="s">
        <v>166</v>
      </c>
    </row>
    <row r="69" spans="1:12">
      <c r="A69" s="2" t="s">
        <v>218</v>
      </c>
      <c r="B69" s="2" t="s">
        <v>107</v>
      </c>
      <c r="C69" s="1" t="s">
        <v>219</v>
      </c>
      <c r="D69" s="1" t="s">
        <v>220</v>
      </c>
      <c r="E69" s="1">
        <v>3426059244</v>
      </c>
      <c r="F69" s="1">
        <v>16670801837</v>
      </c>
      <c r="G69" s="1" t="s">
        <v>221</v>
      </c>
      <c r="H69" s="1">
        <v>30</v>
      </c>
      <c r="I69" s="3">
        <v>30</v>
      </c>
      <c r="J69" s="1" t="str">
        <f t="shared" ref="J69:J74" si="7">IF(I69/H69&lt;0.5,"否","是")</f>
        <v>是</v>
      </c>
      <c r="K69" s="1">
        <f t="shared" si="3"/>
        <v>240</v>
      </c>
      <c r="L69" t="s">
        <v>222</v>
      </c>
    </row>
    <row r="70" spans="1:12">
      <c r="A70" s="2" t="s">
        <v>218</v>
      </c>
      <c r="B70" s="2" t="s">
        <v>107</v>
      </c>
      <c r="C70" s="1" t="s">
        <v>223</v>
      </c>
      <c r="D70" s="1" t="s">
        <v>224</v>
      </c>
      <c r="E70" s="1">
        <v>2452406105</v>
      </c>
      <c r="F70" s="1">
        <v>19187713937</v>
      </c>
      <c r="G70" s="1" t="s">
        <v>225</v>
      </c>
      <c r="H70" s="1">
        <v>38</v>
      </c>
      <c r="I70" s="1">
        <v>26</v>
      </c>
      <c r="J70" s="1" t="str">
        <f t="shared" si="7"/>
        <v>是</v>
      </c>
      <c r="K70" s="1">
        <f t="shared" si="3"/>
        <v>208</v>
      </c>
      <c r="L70" t="s">
        <v>222</v>
      </c>
    </row>
    <row r="71" hidden="1" spans="1:12">
      <c r="A71" s="2" t="s">
        <v>218</v>
      </c>
      <c r="B71" s="2" t="s">
        <v>12</v>
      </c>
      <c r="C71" s="1" t="s">
        <v>226</v>
      </c>
      <c r="D71" s="1" t="s">
        <v>227</v>
      </c>
      <c r="E71" s="1">
        <v>2633393552</v>
      </c>
      <c r="F71" s="1">
        <v>18673257367</v>
      </c>
      <c r="G71" s="1" t="s">
        <v>228</v>
      </c>
      <c r="H71" s="1">
        <v>36</v>
      </c>
      <c r="I71" s="1">
        <v>15</v>
      </c>
      <c r="J71" s="1" t="str">
        <f t="shared" si="7"/>
        <v>否</v>
      </c>
      <c r="K71" s="1">
        <f t="shared" si="3"/>
        <v>120</v>
      </c>
      <c r="L71" t="s">
        <v>117</v>
      </c>
    </row>
    <row r="72" hidden="1" spans="1:12">
      <c r="A72" s="2" t="s">
        <v>218</v>
      </c>
      <c r="B72" s="2" t="s">
        <v>12</v>
      </c>
      <c r="C72" s="1" t="s">
        <v>229</v>
      </c>
      <c r="D72" s="1" t="s">
        <v>230</v>
      </c>
      <c r="E72" s="1">
        <v>1748682871</v>
      </c>
      <c r="F72" s="1">
        <v>19083219015</v>
      </c>
      <c r="G72" s="1" t="s">
        <v>231</v>
      </c>
      <c r="H72" s="1">
        <v>29</v>
      </c>
      <c r="I72" s="3">
        <v>3</v>
      </c>
      <c r="J72" s="1" t="str">
        <f t="shared" si="7"/>
        <v>否</v>
      </c>
      <c r="K72" s="1">
        <f t="shared" si="3"/>
        <v>24</v>
      </c>
      <c r="L72" t="s">
        <v>117</v>
      </c>
    </row>
    <row r="73" hidden="1" spans="1:12">
      <c r="A73" s="2" t="s">
        <v>218</v>
      </c>
      <c r="B73" s="2" t="s">
        <v>12</v>
      </c>
      <c r="C73" s="1" t="s">
        <v>232</v>
      </c>
      <c r="D73" s="1" t="s">
        <v>233</v>
      </c>
      <c r="E73" s="1">
        <v>2737862880</v>
      </c>
      <c r="F73" s="1">
        <v>19314415999</v>
      </c>
      <c r="G73" s="1" t="s">
        <v>234</v>
      </c>
      <c r="H73" s="1">
        <v>45</v>
      </c>
      <c r="I73" s="1">
        <v>6</v>
      </c>
      <c r="J73" s="1" t="str">
        <f t="shared" si="7"/>
        <v>否</v>
      </c>
      <c r="K73" s="1">
        <f t="shared" ref="K73:K87" si="8">I73*8</f>
        <v>48</v>
      </c>
      <c r="L73" t="s">
        <v>117</v>
      </c>
    </row>
    <row r="74" spans="1:12">
      <c r="A74" s="2" t="s">
        <v>218</v>
      </c>
      <c r="B74" s="2" t="s">
        <v>12</v>
      </c>
      <c r="C74" s="1" t="s">
        <v>235</v>
      </c>
      <c r="D74" s="1" t="s">
        <v>236</v>
      </c>
      <c r="E74" s="1">
        <v>213038441</v>
      </c>
      <c r="F74" s="1">
        <v>19083200985</v>
      </c>
      <c r="G74" s="1" t="s">
        <v>237</v>
      </c>
      <c r="H74" s="1">
        <v>46</v>
      </c>
      <c r="I74" s="1">
        <v>23</v>
      </c>
      <c r="J74" s="1" t="str">
        <f t="shared" si="7"/>
        <v>是</v>
      </c>
      <c r="K74" s="1">
        <f t="shared" si="8"/>
        <v>184</v>
      </c>
      <c r="L74" t="s">
        <v>117</v>
      </c>
    </row>
    <row r="75" spans="1:12">
      <c r="A75" s="2" t="s">
        <v>218</v>
      </c>
      <c r="B75" s="2" t="s">
        <v>20</v>
      </c>
      <c r="C75" s="1" t="s">
        <v>238</v>
      </c>
      <c r="D75" s="1" t="s">
        <v>239</v>
      </c>
      <c r="E75" s="1">
        <v>1096323849</v>
      </c>
      <c r="F75" s="1">
        <v>17891077235</v>
      </c>
      <c r="G75" s="1" t="s">
        <v>240</v>
      </c>
      <c r="H75" s="1">
        <v>40</v>
      </c>
      <c r="I75" s="1">
        <v>32</v>
      </c>
      <c r="J75" s="1" t="s">
        <v>71</v>
      </c>
      <c r="K75" s="1">
        <f t="shared" si="8"/>
        <v>256</v>
      </c>
      <c r="L75" t="s">
        <v>117</v>
      </c>
    </row>
    <row r="76" spans="1:12">
      <c r="A76" s="2" t="s">
        <v>218</v>
      </c>
      <c r="B76" s="2" t="s">
        <v>20</v>
      </c>
      <c r="C76" s="1" t="s">
        <v>241</v>
      </c>
      <c r="D76" s="1" t="s">
        <v>242</v>
      </c>
      <c r="E76" s="1">
        <v>2758656997</v>
      </c>
      <c r="F76" s="1">
        <v>13612095414</v>
      </c>
      <c r="G76" s="1" t="s">
        <v>214</v>
      </c>
      <c r="H76" s="1">
        <v>41</v>
      </c>
      <c r="I76" s="1">
        <v>32</v>
      </c>
      <c r="J76" s="1" t="s">
        <v>71</v>
      </c>
      <c r="K76" s="1">
        <f t="shared" si="8"/>
        <v>256</v>
      </c>
      <c r="L76" t="s">
        <v>117</v>
      </c>
    </row>
    <row r="77" spans="1:12">
      <c r="A77" s="2" t="s">
        <v>243</v>
      </c>
      <c r="B77" s="2" t="s">
        <v>107</v>
      </c>
      <c r="C77" s="1" t="s">
        <v>244</v>
      </c>
      <c r="D77" s="1" t="s">
        <v>245</v>
      </c>
      <c r="E77" s="1">
        <v>2744650425</v>
      </c>
      <c r="F77" s="1">
        <v>18674840795</v>
      </c>
      <c r="G77" s="1" t="s">
        <v>246</v>
      </c>
      <c r="H77" s="1">
        <v>35</v>
      </c>
      <c r="I77" s="1">
        <v>19</v>
      </c>
      <c r="J77" s="1" t="s">
        <v>71</v>
      </c>
      <c r="K77" s="1">
        <f t="shared" si="8"/>
        <v>152</v>
      </c>
    </row>
    <row r="78" spans="1:12">
      <c r="A78" s="2" t="s">
        <v>243</v>
      </c>
      <c r="B78" s="2" t="s">
        <v>107</v>
      </c>
      <c r="C78" s="1" t="s">
        <v>247</v>
      </c>
      <c r="D78" s="1" t="s">
        <v>248</v>
      </c>
      <c r="E78" s="1">
        <v>799320941</v>
      </c>
      <c r="F78" s="1">
        <v>17331124329</v>
      </c>
      <c r="G78" s="1" t="s">
        <v>249</v>
      </c>
      <c r="H78" s="1">
        <v>37</v>
      </c>
      <c r="I78" s="1">
        <v>37</v>
      </c>
      <c r="J78" s="1" t="s">
        <v>71</v>
      </c>
      <c r="K78" s="1">
        <f t="shared" si="8"/>
        <v>296</v>
      </c>
    </row>
    <row r="79" spans="1:12">
      <c r="A79" s="2" t="s">
        <v>243</v>
      </c>
      <c r="B79" s="2" t="s">
        <v>12</v>
      </c>
      <c r="C79" s="1" t="s">
        <v>250</v>
      </c>
      <c r="D79" s="1" t="s">
        <v>251</v>
      </c>
      <c r="E79" s="1">
        <v>2672636978</v>
      </c>
      <c r="F79" s="1">
        <v>13243667806</v>
      </c>
      <c r="G79" s="1" t="s">
        <v>252</v>
      </c>
      <c r="H79" s="1">
        <v>42</v>
      </c>
      <c r="I79" s="1">
        <v>21</v>
      </c>
      <c r="J79" s="1" t="s">
        <v>71</v>
      </c>
      <c r="K79" s="1">
        <f t="shared" si="8"/>
        <v>168</v>
      </c>
    </row>
    <row r="80" spans="1:12">
      <c r="A80" s="2" t="s">
        <v>243</v>
      </c>
      <c r="B80" s="2" t="s">
        <v>12</v>
      </c>
      <c r="C80" s="1" t="s">
        <v>253</v>
      </c>
      <c r="D80" s="1" t="s">
        <v>254</v>
      </c>
      <c r="E80" s="1">
        <v>2127180295</v>
      </c>
      <c r="F80" s="1">
        <v>18692619102</v>
      </c>
      <c r="G80" s="1" t="s">
        <v>231</v>
      </c>
      <c r="H80" s="1">
        <v>39</v>
      </c>
      <c r="I80" s="1">
        <v>39</v>
      </c>
      <c r="J80" s="1" t="s">
        <v>71</v>
      </c>
      <c r="K80" s="1">
        <f t="shared" si="8"/>
        <v>312</v>
      </c>
    </row>
    <row r="81" spans="1:12">
      <c r="A81" s="2" t="s">
        <v>243</v>
      </c>
      <c r="B81" s="2" t="s">
        <v>12</v>
      </c>
      <c r="C81" s="1" t="s">
        <v>255</v>
      </c>
      <c r="D81" s="1" t="s">
        <v>256</v>
      </c>
      <c r="E81" s="1">
        <v>3152526408</v>
      </c>
      <c r="F81" s="1">
        <v>13468527044</v>
      </c>
      <c r="G81" s="1" t="s">
        <v>257</v>
      </c>
      <c r="H81" s="1">
        <v>40</v>
      </c>
      <c r="I81" s="1">
        <v>23</v>
      </c>
      <c r="J81" s="1" t="s">
        <v>71</v>
      </c>
      <c r="K81" s="1">
        <f t="shared" si="8"/>
        <v>184</v>
      </c>
    </row>
    <row r="82" spans="1:12">
      <c r="A82" s="2" t="s">
        <v>243</v>
      </c>
      <c r="B82" s="2" t="s">
        <v>12</v>
      </c>
      <c r="C82" s="1" t="s">
        <v>258</v>
      </c>
      <c r="D82" s="1" t="s">
        <v>259</v>
      </c>
      <c r="E82" s="1">
        <v>3030005482</v>
      </c>
      <c r="F82" s="1">
        <v>16630823058</v>
      </c>
      <c r="G82" s="1" t="s">
        <v>260</v>
      </c>
      <c r="H82" s="1">
        <v>39</v>
      </c>
      <c r="I82" s="1">
        <v>31</v>
      </c>
      <c r="J82" s="1" t="str">
        <f t="shared" ref="J82:J87" si="9">IF(I82/H82&lt;0.5,"否","是")</f>
        <v>是</v>
      </c>
      <c r="K82" s="1">
        <f t="shared" si="8"/>
        <v>248</v>
      </c>
    </row>
    <row r="83" spans="1:12">
      <c r="A83" s="2" t="s">
        <v>243</v>
      </c>
      <c r="B83" s="2" t="s">
        <v>12</v>
      </c>
      <c r="C83" s="1" t="s">
        <v>261</v>
      </c>
      <c r="D83" s="1" t="s">
        <v>262</v>
      </c>
      <c r="E83" s="1">
        <v>1580622756</v>
      </c>
      <c r="F83" s="1">
        <v>16681590426</v>
      </c>
      <c r="G83" s="1" t="s">
        <v>263</v>
      </c>
      <c r="H83" s="1">
        <v>40</v>
      </c>
      <c r="I83" s="1">
        <v>40</v>
      </c>
      <c r="J83" s="1" t="str">
        <f t="shared" si="9"/>
        <v>是</v>
      </c>
      <c r="K83" s="1">
        <f t="shared" si="8"/>
        <v>320</v>
      </c>
    </row>
    <row r="84" spans="1:12">
      <c r="A84" s="2" t="s">
        <v>243</v>
      </c>
      <c r="B84" s="2" t="s">
        <v>12</v>
      </c>
      <c r="C84" s="1" t="s">
        <v>264</v>
      </c>
      <c r="D84" s="1" t="s">
        <v>76</v>
      </c>
      <c r="E84" s="1">
        <v>1593386642</v>
      </c>
      <c r="F84" s="1">
        <v>16682582595</v>
      </c>
      <c r="G84" s="1" t="s">
        <v>265</v>
      </c>
      <c r="H84" s="1">
        <v>39</v>
      </c>
      <c r="I84" s="1">
        <v>29</v>
      </c>
      <c r="J84" s="1" t="str">
        <f t="shared" si="9"/>
        <v>是</v>
      </c>
      <c r="K84" s="1">
        <f t="shared" si="8"/>
        <v>232</v>
      </c>
    </row>
    <row r="85" spans="1:12">
      <c r="A85" s="2" t="s">
        <v>243</v>
      </c>
      <c r="B85" s="2" t="s">
        <v>20</v>
      </c>
      <c r="C85" s="1" t="s">
        <v>250</v>
      </c>
      <c r="D85" s="1" t="s">
        <v>266</v>
      </c>
      <c r="E85" s="1">
        <v>1987724589</v>
      </c>
      <c r="F85" s="1">
        <v>19021667380</v>
      </c>
      <c r="G85" s="1" t="s">
        <v>267</v>
      </c>
      <c r="H85" s="1">
        <v>38</v>
      </c>
      <c r="I85" s="3">
        <v>38</v>
      </c>
      <c r="J85" s="1" t="str">
        <f t="shared" si="9"/>
        <v>是</v>
      </c>
      <c r="K85" s="1">
        <f t="shared" si="8"/>
        <v>304</v>
      </c>
      <c r="L85" t="s">
        <v>268</v>
      </c>
    </row>
    <row r="86" spans="1:12">
      <c r="A86" s="2" t="s">
        <v>243</v>
      </c>
      <c r="B86" s="2" t="s">
        <v>20</v>
      </c>
      <c r="C86" s="1" t="s">
        <v>244</v>
      </c>
      <c r="D86" s="1" t="s">
        <v>269</v>
      </c>
      <c r="E86" s="1">
        <v>2749900411</v>
      </c>
      <c r="F86" s="1">
        <v>17267341055</v>
      </c>
      <c r="G86" s="1" t="s">
        <v>270</v>
      </c>
      <c r="H86" s="1">
        <v>37</v>
      </c>
      <c r="I86" s="3">
        <v>37</v>
      </c>
      <c r="J86" s="1" t="str">
        <f t="shared" si="9"/>
        <v>是</v>
      </c>
      <c r="K86" s="1">
        <f t="shared" si="8"/>
        <v>296</v>
      </c>
      <c r="L86" t="s">
        <v>268</v>
      </c>
    </row>
    <row r="87" spans="1:12">
      <c r="A87" s="2" t="s">
        <v>243</v>
      </c>
      <c r="B87" s="2" t="s">
        <v>20</v>
      </c>
      <c r="C87" s="1" t="s">
        <v>247</v>
      </c>
      <c r="D87" s="1" t="s">
        <v>271</v>
      </c>
      <c r="E87" s="1">
        <v>3804936901</v>
      </c>
      <c r="F87" s="1">
        <v>18867386796</v>
      </c>
      <c r="G87" s="1" t="s">
        <v>26</v>
      </c>
      <c r="H87" s="1">
        <v>36</v>
      </c>
      <c r="I87" s="3">
        <v>36</v>
      </c>
      <c r="J87" s="1" t="str">
        <f t="shared" si="9"/>
        <v>是</v>
      </c>
      <c r="K87" s="1">
        <f t="shared" si="8"/>
        <v>288</v>
      </c>
      <c r="L87" t="s">
        <v>268</v>
      </c>
    </row>
    <row r="88" spans="1:12">
      <c r="A88" s="2" t="s">
        <v>243</v>
      </c>
      <c r="B88" s="2" t="s">
        <v>20</v>
      </c>
      <c r="C88" s="1" t="s">
        <v>272</v>
      </c>
      <c r="D88" s="1" t="s">
        <v>273</v>
      </c>
      <c r="E88" s="1">
        <v>2783154807</v>
      </c>
      <c r="F88" s="1"/>
      <c r="G88" s="1" t="s">
        <v>274</v>
      </c>
      <c r="H88" s="1">
        <v>37</v>
      </c>
      <c r="I88" s="3">
        <v>29</v>
      </c>
      <c r="J88" s="1" t="s">
        <v>71</v>
      </c>
      <c r="K88" s="1">
        <f>29*8</f>
        <v>232</v>
      </c>
      <c r="L88" t="s">
        <v>268</v>
      </c>
    </row>
    <row r="89" spans="1:12">
      <c r="A89" s="2" t="s">
        <v>243</v>
      </c>
      <c r="B89" s="2" t="s">
        <v>20</v>
      </c>
      <c r="C89" s="1" t="s">
        <v>255</v>
      </c>
      <c r="D89" s="1" t="s">
        <v>275</v>
      </c>
      <c r="E89" s="1">
        <v>957508604</v>
      </c>
      <c r="F89" s="1">
        <v>18029424867</v>
      </c>
      <c r="G89" s="1" t="s">
        <v>276</v>
      </c>
      <c r="H89" s="1">
        <v>36</v>
      </c>
      <c r="I89" s="3">
        <v>35</v>
      </c>
      <c r="J89" s="1" t="str">
        <f t="shared" ref="J89:J98" si="10">IF(I89/H89&lt;0.5,"否","是")</f>
        <v>是</v>
      </c>
      <c r="K89" s="1">
        <f t="shared" ref="K89:K145" si="11">I89*8</f>
        <v>280</v>
      </c>
      <c r="L89" t="s">
        <v>268</v>
      </c>
    </row>
    <row r="90" spans="1:12">
      <c r="A90" s="2" t="s">
        <v>243</v>
      </c>
      <c r="B90" s="2" t="s">
        <v>20</v>
      </c>
      <c r="C90" s="1" t="s">
        <v>277</v>
      </c>
      <c r="D90" s="1" t="s">
        <v>278</v>
      </c>
      <c r="E90" s="1">
        <v>3434626179</v>
      </c>
      <c r="F90" s="1">
        <v>19379618492</v>
      </c>
      <c r="G90" s="1" t="s">
        <v>279</v>
      </c>
      <c r="H90" s="1">
        <v>36</v>
      </c>
      <c r="I90" s="3">
        <v>36</v>
      </c>
      <c r="J90" s="1" t="str">
        <f t="shared" si="10"/>
        <v>是</v>
      </c>
      <c r="K90" s="1">
        <f t="shared" si="11"/>
        <v>288</v>
      </c>
      <c r="L90" t="s">
        <v>268</v>
      </c>
    </row>
    <row r="91" spans="1:12">
      <c r="A91" s="2" t="s">
        <v>243</v>
      </c>
      <c r="B91" s="2" t="s">
        <v>20</v>
      </c>
      <c r="C91" s="1" t="s">
        <v>258</v>
      </c>
      <c r="D91" s="1" t="s">
        <v>280</v>
      </c>
      <c r="E91" s="1">
        <v>1622192088</v>
      </c>
      <c r="F91" s="1">
        <v>19173948935</v>
      </c>
      <c r="G91" s="1" t="s">
        <v>281</v>
      </c>
      <c r="H91" s="1">
        <v>36</v>
      </c>
      <c r="I91" s="3">
        <v>28</v>
      </c>
      <c r="J91" s="1" t="str">
        <f t="shared" si="10"/>
        <v>是</v>
      </c>
      <c r="K91" s="1">
        <f t="shared" si="11"/>
        <v>224</v>
      </c>
      <c r="L91" t="s">
        <v>268</v>
      </c>
    </row>
    <row r="92" spans="1:12">
      <c r="A92" s="2" t="s">
        <v>243</v>
      </c>
      <c r="B92" s="2" t="s">
        <v>20</v>
      </c>
      <c r="C92" s="1" t="s">
        <v>282</v>
      </c>
      <c r="D92" s="1" t="s">
        <v>283</v>
      </c>
      <c r="E92" s="1">
        <v>3135939406</v>
      </c>
      <c r="F92" s="1">
        <v>15973801878</v>
      </c>
      <c r="G92" s="1" t="s">
        <v>284</v>
      </c>
      <c r="H92" s="1">
        <v>35</v>
      </c>
      <c r="I92" s="3">
        <v>29</v>
      </c>
      <c r="J92" s="1" t="str">
        <f t="shared" si="10"/>
        <v>是</v>
      </c>
      <c r="K92" s="1">
        <f t="shared" si="11"/>
        <v>232</v>
      </c>
      <c r="L92" t="s">
        <v>268</v>
      </c>
    </row>
    <row r="93" spans="1:12">
      <c r="A93" s="2" t="s">
        <v>243</v>
      </c>
      <c r="B93" s="2" t="s">
        <v>20</v>
      </c>
      <c r="C93" s="1" t="s">
        <v>261</v>
      </c>
      <c r="D93" s="1" t="s">
        <v>285</v>
      </c>
      <c r="E93" s="1">
        <v>2030541968</v>
      </c>
      <c r="F93" s="1">
        <v>18273849695</v>
      </c>
      <c r="G93" s="1" t="s">
        <v>286</v>
      </c>
      <c r="H93" s="1">
        <v>37</v>
      </c>
      <c r="I93" s="3">
        <v>37</v>
      </c>
      <c r="J93" s="1" t="str">
        <f t="shared" si="10"/>
        <v>是</v>
      </c>
      <c r="K93" s="1">
        <f t="shared" si="11"/>
        <v>296</v>
      </c>
      <c r="L93" t="s">
        <v>268</v>
      </c>
    </row>
    <row r="94" spans="1:12">
      <c r="A94" s="2" t="s">
        <v>243</v>
      </c>
      <c r="B94" s="2" t="s">
        <v>20</v>
      </c>
      <c r="C94" s="1" t="s">
        <v>287</v>
      </c>
      <c r="D94" s="1" t="s">
        <v>288</v>
      </c>
      <c r="E94" s="1">
        <v>3279619782</v>
      </c>
      <c r="F94" s="1">
        <v>13138190430</v>
      </c>
      <c r="G94" s="1" t="s">
        <v>274</v>
      </c>
      <c r="H94" s="1">
        <v>37</v>
      </c>
      <c r="I94" s="3">
        <v>30</v>
      </c>
      <c r="J94" s="1" t="str">
        <f t="shared" si="10"/>
        <v>是</v>
      </c>
      <c r="K94" s="1">
        <f t="shared" si="11"/>
        <v>240</v>
      </c>
      <c r="L94" t="s">
        <v>268</v>
      </c>
    </row>
    <row r="95" spans="1:12">
      <c r="A95" s="2" t="s">
        <v>243</v>
      </c>
      <c r="B95" s="2" t="s">
        <v>20</v>
      </c>
      <c r="C95" s="1" t="s">
        <v>264</v>
      </c>
      <c r="D95" s="1" t="s">
        <v>289</v>
      </c>
      <c r="E95" s="1">
        <v>1077463238</v>
      </c>
      <c r="F95" s="1">
        <v>19974780561</v>
      </c>
      <c r="G95" s="1" t="s">
        <v>290</v>
      </c>
      <c r="H95" s="1">
        <v>34</v>
      </c>
      <c r="I95" s="1">
        <v>30</v>
      </c>
      <c r="J95" s="1" t="str">
        <f t="shared" si="10"/>
        <v>是</v>
      </c>
      <c r="K95" s="1">
        <f t="shared" si="11"/>
        <v>240</v>
      </c>
      <c r="L95" t="s">
        <v>268</v>
      </c>
    </row>
    <row r="96" spans="1:12">
      <c r="A96" s="2" t="s">
        <v>243</v>
      </c>
      <c r="B96" s="2" t="s">
        <v>20</v>
      </c>
      <c r="C96" s="1" t="s">
        <v>291</v>
      </c>
      <c r="D96" s="1" t="s">
        <v>292</v>
      </c>
      <c r="E96" s="1">
        <v>3586283939</v>
      </c>
      <c r="F96" s="1">
        <v>18829141411</v>
      </c>
      <c r="G96" s="1" t="s">
        <v>276</v>
      </c>
      <c r="H96" s="1">
        <v>36</v>
      </c>
      <c r="I96" s="3">
        <v>27</v>
      </c>
      <c r="J96" s="1" t="str">
        <f t="shared" si="10"/>
        <v>是</v>
      </c>
      <c r="K96" s="1">
        <f t="shared" si="11"/>
        <v>216</v>
      </c>
      <c r="L96" t="s">
        <v>268</v>
      </c>
    </row>
    <row r="97" spans="1:12">
      <c r="A97" s="2" t="s">
        <v>243</v>
      </c>
      <c r="B97" s="2" t="s">
        <v>20</v>
      </c>
      <c r="C97" s="1" t="s">
        <v>293</v>
      </c>
      <c r="D97" s="1" t="s">
        <v>294</v>
      </c>
      <c r="E97" s="1">
        <v>3326223141</v>
      </c>
      <c r="F97" s="1">
        <v>15200932291</v>
      </c>
      <c r="G97" s="1" t="s">
        <v>295</v>
      </c>
      <c r="H97" s="1">
        <v>35</v>
      </c>
      <c r="I97" s="3">
        <v>35</v>
      </c>
      <c r="J97" s="1" t="str">
        <f t="shared" si="10"/>
        <v>是</v>
      </c>
      <c r="K97" s="1">
        <f t="shared" si="11"/>
        <v>280</v>
      </c>
      <c r="L97" t="s">
        <v>268</v>
      </c>
    </row>
    <row r="98" spans="1:12">
      <c r="A98" s="2" t="s">
        <v>296</v>
      </c>
      <c r="B98" s="2" t="s">
        <v>12</v>
      </c>
      <c r="C98" s="1" t="s">
        <v>297</v>
      </c>
      <c r="D98" s="1" t="s">
        <v>298</v>
      </c>
      <c r="E98" s="1">
        <v>3446613439</v>
      </c>
      <c r="F98" s="1">
        <v>18386712602</v>
      </c>
      <c r="G98" s="1" t="s">
        <v>299</v>
      </c>
      <c r="H98" s="1">
        <v>52</v>
      </c>
      <c r="I98" s="3">
        <v>46</v>
      </c>
      <c r="J98" s="1" t="str">
        <f t="shared" si="10"/>
        <v>是</v>
      </c>
      <c r="K98" s="1">
        <f t="shared" si="11"/>
        <v>368</v>
      </c>
    </row>
    <row r="99" hidden="1" spans="1:12">
      <c r="A99" s="2" t="s">
        <v>296</v>
      </c>
      <c r="B99" s="2" t="s">
        <v>12</v>
      </c>
      <c r="C99" s="1" t="s">
        <v>300</v>
      </c>
      <c r="D99" s="1" t="s">
        <v>301</v>
      </c>
      <c r="E99" s="1">
        <v>2284458748</v>
      </c>
      <c r="F99" s="1">
        <v>15197482735</v>
      </c>
      <c r="G99" s="1" t="s">
        <v>302</v>
      </c>
      <c r="H99" s="1">
        <v>49</v>
      </c>
      <c r="I99" s="1">
        <v>22</v>
      </c>
      <c r="J99" s="1" t="s">
        <v>19</v>
      </c>
      <c r="K99" s="1">
        <f t="shared" si="11"/>
        <v>176</v>
      </c>
    </row>
    <row r="100" spans="1:12">
      <c r="A100" s="2" t="s">
        <v>296</v>
      </c>
      <c r="B100" s="2" t="s">
        <v>12</v>
      </c>
      <c r="C100" s="1" t="s">
        <v>303</v>
      </c>
      <c r="D100" s="4" t="s">
        <v>304</v>
      </c>
      <c r="E100" s="1">
        <v>2970916216</v>
      </c>
      <c r="F100" s="1">
        <v>19957406136</v>
      </c>
      <c r="G100" s="1" t="s">
        <v>305</v>
      </c>
      <c r="H100" s="1">
        <v>46</v>
      </c>
      <c r="I100" s="3">
        <v>46</v>
      </c>
      <c r="J100" s="1" t="str">
        <f t="shared" ref="J100:J105" si="12">IF(I100/H100&lt;0.5,"否","是")</f>
        <v>是</v>
      </c>
      <c r="K100" s="1">
        <f t="shared" si="11"/>
        <v>368</v>
      </c>
    </row>
    <row r="101" hidden="1" spans="1:12">
      <c r="A101" s="2" t="s">
        <v>306</v>
      </c>
      <c r="B101" s="2" t="s">
        <v>107</v>
      </c>
      <c r="C101" s="1" t="s">
        <v>307</v>
      </c>
      <c r="D101" s="1" t="s">
        <v>308</v>
      </c>
      <c r="E101" s="1">
        <v>2492275312</v>
      </c>
      <c r="F101" s="1">
        <v>18183673080</v>
      </c>
      <c r="G101" s="1" t="s">
        <v>309</v>
      </c>
      <c r="H101" s="1">
        <v>28</v>
      </c>
      <c r="I101" s="1">
        <v>4</v>
      </c>
      <c r="J101" s="1" t="str">
        <f t="shared" si="12"/>
        <v>否</v>
      </c>
      <c r="K101" s="1">
        <f t="shared" si="11"/>
        <v>32</v>
      </c>
    </row>
    <row r="102" hidden="1" spans="1:12">
      <c r="A102" s="2" t="s">
        <v>306</v>
      </c>
      <c r="B102" s="2" t="s">
        <v>107</v>
      </c>
      <c r="C102" s="1" t="s">
        <v>310</v>
      </c>
      <c r="D102" s="1" t="s">
        <v>311</v>
      </c>
      <c r="E102" s="1">
        <v>1559628923</v>
      </c>
      <c r="F102" s="1">
        <v>18093474096</v>
      </c>
      <c r="G102" s="1" t="s">
        <v>312</v>
      </c>
      <c r="H102" s="1">
        <v>22</v>
      </c>
      <c r="I102" s="3">
        <v>3</v>
      </c>
      <c r="J102" s="1" t="str">
        <f t="shared" si="12"/>
        <v>否</v>
      </c>
      <c r="K102" s="1">
        <f t="shared" si="11"/>
        <v>24</v>
      </c>
    </row>
    <row r="103" hidden="1" spans="1:12">
      <c r="A103" s="2" t="s">
        <v>306</v>
      </c>
      <c r="B103" s="2" t="s">
        <v>12</v>
      </c>
      <c r="C103" s="1" t="s">
        <v>313</v>
      </c>
      <c r="D103" s="1" t="s">
        <v>314</v>
      </c>
      <c r="E103" s="1">
        <v>815905873</v>
      </c>
      <c r="F103" s="1">
        <v>15673064356</v>
      </c>
      <c r="G103" s="1" t="s">
        <v>315</v>
      </c>
      <c r="H103" s="1">
        <v>33</v>
      </c>
      <c r="I103" s="1">
        <v>10</v>
      </c>
      <c r="J103" s="1" t="str">
        <f t="shared" si="12"/>
        <v>否</v>
      </c>
      <c r="K103" s="1">
        <f t="shared" si="11"/>
        <v>80</v>
      </c>
    </row>
    <row r="104" spans="1:12">
      <c r="A104" s="2" t="s">
        <v>306</v>
      </c>
      <c r="B104" s="2" t="s">
        <v>12</v>
      </c>
      <c r="C104" s="1" t="s">
        <v>316</v>
      </c>
      <c r="D104" s="1" t="s">
        <v>317</v>
      </c>
      <c r="E104" s="1">
        <v>3147803439</v>
      </c>
      <c r="F104" s="1">
        <v>17375155255</v>
      </c>
      <c r="G104" s="1" t="s">
        <v>318</v>
      </c>
      <c r="H104" s="1">
        <v>25</v>
      </c>
      <c r="I104" s="1">
        <v>23</v>
      </c>
      <c r="J104" s="1" t="str">
        <f t="shared" si="12"/>
        <v>是</v>
      </c>
      <c r="K104" s="1">
        <f t="shared" si="11"/>
        <v>184</v>
      </c>
    </row>
    <row r="105" spans="1:12">
      <c r="A105" s="2" t="s">
        <v>306</v>
      </c>
      <c r="B105" s="2" t="s">
        <v>20</v>
      </c>
      <c r="C105" s="1" t="s">
        <v>310</v>
      </c>
      <c r="D105" s="1" t="s">
        <v>319</v>
      </c>
      <c r="E105" s="1">
        <v>1640603312</v>
      </c>
      <c r="F105" s="1">
        <v>19175246027</v>
      </c>
      <c r="G105" s="1" t="s">
        <v>320</v>
      </c>
      <c r="H105" s="1">
        <v>34</v>
      </c>
      <c r="I105" s="3">
        <v>31</v>
      </c>
      <c r="J105" s="1" t="str">
        <f t="shared" si="12"/>
        <v>是</v>
      </c>
      <c r="K105" s="1">
        <f t="shared" si="11"/>
        <v>248</v>
      </c>
      <c r="L105" t="s">
        <v>81</v>
      </c>
    </row>
    <row r="106" spans="1:12">
      <c r="A106" s="2" t="s">
        <v>306</v>
      </c>
      <c r="B106" s="2" t="s">
        <v>20</v>
      </c>
      <c r="C106" s="1" t="s">
        <v>321</v>
      </c>
      <c r="D106" s="1" t="s">
        <v>322</v>
      </c>
      <c r="E106" s="1">
        <v>3637451931</v>
      </c>
      <c r="F106" s="1">
        <v>18873205759</v>
      </c>
      <c r="G106" s="1" t="s">
        <v>323</v>
      </c>
      <c r="H106" s="1">
        <v>39</v>
      </c>
      <c r="I106" s="1">
        <v>29</v>
      </c>
      <c r="J106" s="1" t="s">
        <v>71</v>
      </c>
      <c r="K106" s="1">
        <f t="shared" si="11"/>
        <v>232</v>
      </c>
      <c r="L106" t="s">
        <v>130</v>
      </c>
    </row>
    <row r="107" hidden="1" spans="1:12">
      <c r="A107" s="2" t="s">
        <v>306</v>
      </c>
      <c r="B107" s="2" t="s">
        <v>20</v>
      </c>
      <c r="C107" s="1" t="s">
        <v>324</v>
      </c>
      <c r="D107" s="1" t="s">
        <v>325</v>
      </c>
      <c r="E107" s="1">
        <v>226206248</v>
      </c>
      <c r="F107" s="1">
        <v>15115934646</v>
      </c>
      <c r="G107" s="1" t="s">
        <v>326</v>
      </c>
      <c r="H107" s="1">
        <v>39</v>
      </c>
      <c r="I107" s="1">
        <v>7</v>
      </c>
      <c r="J107" s="1" t="s">
        <v>19</v>
      </c>
      <c r="K107" s="1">
        <f t="shared" si="11"/>
        <v>56</v>
      </c>
      <c r="L107" t="s">
        <v>130</v>
      </c>
    </row>
    <row r="108" spans="1:12">
      <c r="A108" s="2" t="s">
        <v>306</v>
      </c>
      <c r="B108" s="2" t="s">
        <v>20</v>
      </c>
      <c r="C108" s="1" t="s">
        <v>327</v>
      </c>
      <c r="D108" s="4" t="s">
        <v>328</v>
      </c>
      <c r="E108" s="1">
        <v>2657916297</v>
      </c>
      <c r="F108" s="1"/>
      <c r="G108" s="1"/>
      <c r="H108" s="1">
        <v>40</v>
      </c>
      <c r="I108" s="3">
        <v>33</v>
      </c>
      <c r="J108" s="1" t="str">
        <f t="shared" ref="J108:J116" si="13">IF(I108/H108&lt;0.5,"否","是")</f>
        <v>是</v>
      </c>
      <c r="K108" s="1">
        <f t="shared" si="11"/>
        <v>264</v>
      </c>
      <c r="L108" t="s">
        <v>130</v>
      </c>
    </row>
    <row r="109" hidden="1" spans="1:12">
      <c r="A109" s="2" t="s">
        <v>329</v>
      </c>
      <c r="B109" s="1" t="s">
        <v>175</v>
      </c>
      <c r="C109" s="1" t="s">
        <v>330</v>
      </c>
      <c r="D109" s="1" t="s">
        <v>331</v>
      </c>
      <c r="E109" s="1">
        <v>2029271774</v>
      </c>
      <c r="F109" s="1">
        <v>17873657151</v>
      </c>
      <c r="G109" s="1" t="s">
        <v>332</v>
      </c>
      <c r="H109" s="1">
        <v>33</v>
      </c>
      <c r="I109" s="3">
        <v>6</v>
      </c>
      <c r="J109" s="1" t="str">
        <f t="shared" si="13"/>
        <v>否</v>
      </c>
      <c r="K109" s="1">
        <f t="shared" si="11"/>
        <v>48</v>
      </c>
    </row>
    <row r="110" spans="1:12">
      <c r="A110" s="2" t="s">
        <v>329</v>
      </c>
      <c r="B110" s="1" t="s">
        <v>107</v>
      </c>
      <c r="C110" s="1" t="s">
        <v>333</v>
      </c>
      <c r="D110" s="1" t="s">
        <v>334</v>
      </c>
      <c r="E110" s="1">
        <v>2786118769</v>
      </c>
      <c r="F110" s="1">
        <v>19848132695</v>
      </c>
      <c r="G110" s="1" t="s">
        <v>335</v>
      </c>
      <c r="H110" s="1">
        <v>25</v>
      </c>
      <c r="I110" s="1">
        <v>14</v>
      </c>
      <c r="J110" s="1" t="s">
        <v>71</v>
      </c>
      <c r="K110" s="1">
        <f t="shared" si="11"/>
        <v>112</v>
      </c>
    </row>
    <row r="111" spans="1:12">
      <c r="A111" s="2" t="s">
        <v>329</v>
      </c>
      <c r="B111" s="1" t="s">
        <v>20</v>
      </c>
      <c r="C111" s="1" t="s">
        <v>336</v>
      </c>
      <c r="D111" s="1" t="s">
        <v>337</v>
      </c>
      <c r="E111" s="1">
        <v>2545043778</v>
      </c>
      <c r="F111" s="1">
        <v>17872536116</v>
      </c>
      <c r="G111" s="1" t="s">
        <v>338</v>
      </c>
      <c r="H111" s="1">
        <v>32</v>
      </c>
      <c r="I111" s="1">
        <v>23</v>
      </c>
      <c r="J111" s="1" t="s">
        <v>71</v>
      </c>
      <c r="K111" s="1">
        <f t="shared" si="11"/>
        <v>184</v>
      </c>
      <c r="L111" t="s">
        <v>139</v>
      </c>
    </row>
    <row r="112" spans="1:12">
      <c r="A112" s="2" t="s">
        <v>339</v>
      </c>
      <c r="B112" s="1" t="s">
        <v>107</v>
      </c>
      <c r="C112" s="1" t="s">
        <v>340</v>
      </c>
      <c r="D112" s="1" t="s">
        <v>341</v>
      </c>
      <c r="E112" s="1">
        <v>1590366374</v>
      </c>
      <c r="F112" s="1">
        <v>19339150960</v>
      </c>
      <c r="G112" s="1" t="s">
        <v>342</v>
      </c>
      <c r="H112" s="1">
        <v>27</v>
      </c>
      <c r="I112" s="1">
        <v>15</v>
      </c>
      <c r="J112" s="1" t="s">
        <v>71</v>
      </c>
      <c r="K112" s="1">
        <f t="shared" si="11"/>
        <v>120</v>
      </c>
    </row>
    <row r="113" spans="1:12">
      <c r="A113" s="2" t="s">
        <v>339</v>
      </c>
      <c r="B113" s="2" t="s">
        <v>20</v>
      </c>
      <c r="C113" s="1" t="s">
        <v>343</v>
      </c>
      <c r="D113" s="1" t="s">
        <v>344</v>
      </c>
      <c r="E113" s="1">
        <v>3421859632</v>
      </c>
      <c r="F113" s="1">
        <v>18563222094</v>
      </c>
      <c r="G113" s="1" t="s">
        <v>345</v>
      </c>
      <c r="H113" s="1">
        <v>40</v>
      </c>
      <c r="I113" s="1">
        <v>39</v>
      </c>
      <c r="J113" s="1" t="str">
        <f t="shared" si="13"/>
        <v>是</v>
      </c>
      <c r="K113" s="1">
        <f t="shared" si="11"/>
        <v>312</v>
      </c>
      <c r="L113" t="s">
        <v>346</v>
      </c>
    </row>
    <row r="114" hidden="1" spans="1:12">
      <c r="A114" s="2" t="s">
        <v>339</v>
      </c>
      <c r="B114" s="2" t="s">
        <v>20</v>
      </c>
      <c r="C114" s="1" t="s">
        <v>347</v>
      </c>
      <c r="D114" s="1" t="s">
        <v>348</v>
      </c>
      <c r="E114" s="1">
        <v>3301660065</v>
      </c>
      <c r="F114" s="1">
        <v>18873218900</v>
      </c>
      <c r="G114" s="1" t="s">
        <v>349</v>
      </c>
      <c r="H114" s="1">
        <v>40</v>
      </c>
      <c r="I114" s="3">
        <v>9</v>
      </c>
      <c r="J114" s="1" t="str">
        <f t="shared" si="13"/>
        <v>否</v>
      </c>
      <c r="K114" s="1">
        <f t="shared" si="11"/>
        <v>72</v>
      </c>
      <c r="L114" t="s">
        <v>346</v>
      </c>
    </row>
    <row r="115" spans="1:12">
      <c r="A115" s="2" t="s">
        <v>339</v>
      </c>
      <c r="B115" s="2" t="s">
        <v>20</v>
      </c>
      <c r="C115" s="1" t="s">
        <v>350</v>
      </c>
      <c r="D115" s="1" t="s">
        <v>351</v>
      </c>
      <c r="E115" s="1">
        <v>2760434750</v>
      </c>
      <c r="F115" s="1">
        <v>18154065602</v>
      </c>
      <c r="G115" s="1" t="s">
        <v>352</v>
      </c>
      <c r="H115" s="1">
        <v>37</v>
      </c>
      <c r="I115" s="1">
        <v>19</v>
      </c>
      <c r="J115" s="1" t="str">
        <f t="shared" si="13"/>
        <v>是</v>
      </c>
      <c r="K115" s="1">
        <f t="shared" si="11"/>
        <v>152</v>
      </c>
      <c r="L115" t="s">
        <v>346</v>
      </c>
    </row>
    <row r="116" spans="1:12">
      <c r="A116" s="2" t="s">
        <v>353</v>
      </c>
      <c r="B116" s="2" t="s">
        <v>12</v>
      </c>
      <c r="C116" s="1" t="s">
        <v>354</v>
      </c>
      <c r="D116" s="1" t="s">
        <v>355</v>
      </c>
      <c r="E116" s="1">
        <v>1536916946</v>
      </c>
      <c r="F116" s="1">
        <v>17680329792</v>
      </c>
      <c r="G116" s="1" t="s">
        <v>356</v>
      </c>
      <c r="H116" s="3">
        <v>24</v>
      </c>
      <c r="I116" s="3">
        <v>21</v>
      </c>
      <c r="J116" s="1" t="str">
        <f t="shared" si="13"/>
        <v>是</v>
      </c>
      <c r="K116" s="1">
        <f t="shared" si="11"/>
        <v>168</v>
      </c>
    </row>
    <row r="117" spans="1:12">
      <c r="A117" s="2" t="s">
        <v>353</v>
      </c>
      <c r="B117" s="2" t="s">
        <v>12</v>
      </c>
      <c r="C117" s="1" t="s">
        <v>357</v>
      </c>
      <c r="D117" s="1" t="s">
        <v>358</v>
      </c>
      <c r="E117" s="1">
        <v>264500297</v>
      </c>
      <c r="F117" s="1">
        <v>13290617689</v>
      </c>
      <c r="G117" s="1" t="s">
        <v>359</v>
      </c>
      <c r="H117" s="1">
        <v>29</v>
      </c>
      <c r="I117" s="1">
        <v>21</v>
      </c>
      <c r="J117" s="1" t="s">
        <v>71</v>
      </c>
      <c r="K117" s="1">
        <f t="shared" si="11"/>
        <v>168</v>
      </c>
    </row>
    <row r="118" hidden="1" spans="1:12">
      <c r="A118" s="2" t="s">
        <v>353</v>
      </c>
      <c r="B118" s="1" t="s">
        <v>20</v>
      </c>
      <c r="C118" s="1" t="s">
        <v>357</v>
      </c>
      <c r="D118" s="1" t="s">
        <v>360</v>
      </c>
      <c r="E118" s="1">
        <v>2321671811</v>
      </c>
      <c r="F118" s="1">
        <v>15673356649</v>
      </c>
      <c r="G118" s="1" t="s">
        <v>361</v>
      </c>
      <c r="H118" s="1">
        <v>30</v>
      </c>
      <c r="I118" s="1">
        <v>10</v>
      </c>
      <c r="J118" s="1" t="str">
        <f t="shared" ref="J118:J130" si="14">IF(I118/H118&lt;0.5,"否","是")</f>
        <v>否</v>
      </c>
      <c r="K118" s="1">
        <f t="shared" si="11"/>
        <v>80</v>
      </c>
      <c r="L118" t="s">
        <v>360</v>
      </c>
    </row>
    <row r="119" hidden="1" spans="1:12">
      <c r="A119" s="2" t="s">
        <v>362</v>
      </c>
      <c r="B119" s="1" t="s">
        <v>175</v>
      </c>
      <c r="C119" s="1" t="s">
        <v>363</v>
      </c>
      <c r="D119" s="1" t="s">
        <v>364</v>
      </c>
      <c r="E119" s="1">
        <v>1559502069</v>
      </c>
      <c r="F119" s="1">
        <v>13298551055</v>
      </c>
      <c r="G119" s="1"/>
      <c r="H119" s="1">
        <v>43</v>
      </c>
      <c r="I119" s="1">
        <v>3</v>
      </c>
      <c r="J119" s="1" t="s">
        <v>19</v>
      </c>
      <c r="K119" s="1">
        <f t="shared" si="11"/>
        <v>24</v>
      </c>
    </row>
    <row r="120" hidden="1" spans="1:12">
      <c r="A120" s="2" t="s">
        <v>362</v>
      </c>
      <c r="B120" s="1" t="s">
        <v>107</v>
      </c>
      <c r="C120" s="1" t="s">
        <v>365</v>
      </c>
      <c r="D120" s="1" t="s">
        <v>366</v>
      </c>
      <c r="E120" s="1">
        <v>2147738632</v>
      </c>
      <c r="F120" s="1">
        <v>18992693626</v>
      </c>
      <c r="G120" s="1" t="s">
        <v>367</v>
      </c>
      <c r="H120" s="1">
        <v>39</v>
      </c>
      <c r="I120" s="3">
        <v>6</v>
      </c>
      <c r="J120" s="1" t="str">
        <f t="shared" si="14"/>
        <v>否</v>
      </c>
      <c r="K120" s="1">
        <f t="shared" si="11"/>
        <v>48</v>
      </c>
      <c r="L120" t="s">
        <v>368</v>
      </c>
    </row>
    <row r="121" spans="1:12">
      <c r="A121" s="2" t="s">
        <v>362</v>
      </c>
      <c r="B121" s="2" t="s">
        <v>12</v>
      </c>
      <c r="C121" s="1" t="s">
        <v>369</v>
      </c>
      <c r="D121" s="1" t="s">
        <v>370</v>
      </c>
      <c r="E121" s="1">
        <v>2982162257</v>
      </c>
      <c r="F121" s="1">
        <v>19918553733</v>
      </c>
      <c r="G121" s="1" t="s">
        <v>371</v>
      </c>
      <c r="H121" s="1">
        <v>33</v>
      </c>
      <c r="I121" s="1">
        <v>33</v>
      </c>
      <c r="J121" s="1" t="s">
        <v>71</v>
      </c>
      <c r="K121" s="1">
        <f t="shared" si="11"/>
        <v>264</v>
      </c>
    </row>
    <row r="122" spans="1:12">
      <c r="A122" s="2" t="s">
        <v>362</v>
      </c>
      <c r="B122" s="2" t="s">
        <v>12</v>
      </c>
      <c r="C122" s="1" t="s">
        <v>372</v>
      </c>
      <c r="D122" s="1" t="s">
        <v>373</v>
      </c>
      <c r="E122" s="1">
        <v>1022803230</v>
      </c>
      <c r="F122" s="1">
        <v>18842991191</v>
      </c>
      <c r="G122" s="1" t="s">
        <v>374</v>
      </c>
      <c r="H122" s="1">
        <v>53</v>
      </c>
      <c r="I122" s="3">
        <v>38</v>
      </c>
      <c r="J122" s="1" t="str">
        <f t="shared" si="14"/>
        <v>是</v>
      </c>
      <c r="K122" s="1">
        <f t="shared" si="11"/>
        <v>304</v>
      </c>
      <c r="L122" t="s">
        <v>117</v>
      </c>
    </row>
    <row r="123" spans="1:12">
      <c r="A123" s="2" t="s">
        <v>362</v>
      </c>
      <c r="B123" s="2" t="s">
        <v>12</v>
      </c>
      <c r="C123" s="1" t="s">
        <v>363</v>
      </c>
      <c r="D123" s="1" t="s">
        <v>375</v>
      </c>
      <c r="E123" s="1">
        <v>3063382292</v>
      </c>
      <c r="F123" s="1">
        <v>15874852751</v>
      </c>
      <c r="G123" s="1" t="s">
        <v>376</v>
      </c>
      <c r="H123" s="1">
        <v>51</v>
      </c>
      <c r="I123" s="1">
        <v>51</v>
      </c>
      <c r="J123" s="1" t="str">
        <f t="shared" si="14"/>
        <v>是</v>
      </c>
      <c r="K123" s="1">
        <f t="shared" si="11"/>
        <v>408</v>
      </c>
      <c r="L123" t="s">
        <v>377</v>
      </c>
    </row>
    <row r="124" spans="1:12">
      <c r="A124" s="2" t="s">
        <v>362</v>
      </c>
      <c r="B124" s="2" t="s">
        <v>12</v>
      </c>
      <c r="C124" s="1" t="s">
        <v>365</v>
      </c>
      <c r="D124" s="1" t="s">
        <v>378</v>
      </c>
      <c r="E124" s="1">
        <v>2433391603</v>
      </c>
      <c r="F124" s="1">
        <v>18598919268</v>
      </c>
      <c r="G124" s="1" t="s">
        <v>379</v>
      </c>
      <c r="H124" s="3">
        <v>40</v>
      </c>
      <c r="I124" s="3">
        <v>20</v>
      </c>
      <c r="J124" s="1" t="str">
        <f t="shared" si="14"/>
        <v>是</v>
      </c>
      <c r="K124" s="1">
        <f t="shared" si="11"/>
        <v>160</v>
      </c>
      <c r="L124" t="s">
        <v>377</v>
      </c>
    </row>
    <row r="125" spans="1:12">
      <c r="A125" s="2" t="s">
        <v>362</v>
      </c>
      <c r="B125" s="2" t="s">
        <v>20</v>
      </c>
      <c r="C125" s="1" t="s">
        <v>363</v>
      </c>
      <c r="D125" s="1" t="s">
        <v>380</v>
      </c>
      <c r="E125" s="1">
        <v>2668030630</v>
      </c>
      <c r="F125" s="1">
        <v>19324652635</v>
      </c>
      <c r="G125" s="1" t="s">
        <v>381</v>
      </c>
      <c r="H125" s="1">
        <v>39</v>
      </c>
      <c r="I125" s="3">
        <v>37</v>
      </c>
      <c r="J125" s="1" t="str">
        <f t="shared" si="14"/>
        <v>是</v>
      </c>
      <c r="K125" s="1">
        <f t="shared" si="11"/>
        <v>296</v>
      </c>
      <c r="L125" t="s">
        <v>382</v>
      </c>
    </row>
    <row r="126" spans="1:12">
      <c r="A126" s="2" t="s">
        <v>362</v>
      </c>
      <c r="B126" s="2" t="s">
        <v>20</v>
      </c>
      <c r="C126" s="1" t="s">
        <v>365</v>
      </c>
      <c r="D126" s="1" t="s">
        <v>383</v>
      </c>
      <c r="E126" s="1">
        <v>3077754824</v>
      </c>
      <c r="F126" s="1">
        <v>17886617295</v>
      </c>
      <c r="G126" s="1" t="s">
        <v>198</v>
      </c>
      <c r="H126" s="1">
        <v>41</v>
      </c>
      <c r="I126" s="3">
        <v>30</v>
      </c>
      <c r="J126" s="1" t="str">
        <f t="shared" si="14"/>
        <v>是</v>
      </c>
      <c r="K126" s="1">
        <f t="shared" si="11"/>
        <v>240</v>
      </c>
      <c r="L126" t="s">
        <v>382</v>
      </c>
    </row>
    <row r="127" hidden="1" spans="1:12">
      <c r="A127" s="2" t="s">
        <v>362</v>
      </c>
      <c r="B127" s="2" t="s">
        <v>20</v>
      </c>
      <c r="C127" s="1" t="s">
        <v>384</v>
      </c>
      <c r="D127" s="1" t="s">
        <v>385</v>
      </c>
      <c r="E127" s="1">
        <v>2256170989</v>
      </c>
      <c r="F127" s="1">
        <v>19164820686</v>
      </c>
      <c r="G127" s="1" t="s">
        <v>361</v>
      </c>
      <c r="H127" s="1">
        <v>41</v>
      </c>
      <c r="I127" s="1">
        <v>8</v>
      </c>
      <c r="J127" s="1" t="str">
        <f t="shared" si="14"/>
        <v>否</v>
      </c>
      <c r="K127" s="1">
        <f t="shared" si="11"/>
        <v>64</v>
      </c>
      <c r="L127" t="s">
        <v>382</v>
      </c>
    </row>
    <row r="128" hidden="1" spans="1:12">
      <c r="A128" s="2" t="s">
        <v>386</v>
      </c>
      <c r="B128" s="2" t="s">
        <v>20</v>
      </c>
      <c r="C128" s="1" t="s">
        <v>387</v>
      </c>
      <c r="D128" s="4" t="s">
        <v>388</v>
      </c>
      <c r="E128" s="3">
        <v>3443552143</v>
      </c>
      <c r="F128" s="3">
        <v>13874593102</v>
      </c>
      <c r="G128" s="4" t="s">
        <v>389</v>
      </c>
      <c r="H128" s="1">
        <v>40</v>
      </c>
      <c r="I128" s="3">
        <v>13</v>
      </c>
      <c r="J128" s="1" t="str">
        <f t="shared" si="14"/>
        <v>否</v>
      </c>
      <c r="K128" s="1">
        <f t="shared" si="11"/>
        <v>104</v>
      </c>
      <c r="L128" t="s">
        <v>37</v>
      </c>
    </row>
    <row r="129" hidden="1" spans="1:12">
      <c r="A129" s="2" t="s">
        <v>386</v>
      </c>
      <c r="B129" s="2" t="s">
        <v>20</v>
      </c>
      <c r="C129" s="1" t="s">
        <v>390</v>
      </c>
      <c r="D129" s="4" t="s">
        <v>37</v>
      </c>
      <c r="E129" s="3">
        <v>3804146726</v>
      </c>
      <c r="F129" s="3">
        <v>18948403507</v>
      </c>
      <c r="G129" s="4" t="s">
        <v>171</v>
      </c>
      <c r="H129" s="1">
        <v>42</v>
      </c>
      <c r="I129" s="3">
        <v>14</v>
      </c>
      <c r="J129" s="1" t="str">
        <f t="shared" si="14"/>
        <v>否</v>
      </c>
      <c r="K129" s="1">
        <f t="shared" si="11"/>
        <v>112</v>
      </c>
      <c r="L129" t="s">
        <v>37</v>
      </c>
    </row>
    <row r="130" hidden="1" spans="1:12">
      <c r="A130" s="2" t="s">
        <v>386</v>
      </c>
      <c r="B130" s="2" t="s">
        <v>20</v>
      </c>
      <c r="C130" s="1" t="s">
        <v>391</v>
      </c>
      <c r="D130" s="1" t="s">
        <v>392</v>
      </c>
      <c r="E130" s="1">
        <v>1792518194</v>
      </c>
      <c r="F130" s="1">
        <v>19084908906</v>
      </c>
      <c r="G130" s="1" t="s">
        <v>393</v>
      </c>
      <c r="H130" s="1">
        <v>42</v>
      </c>
      <c r="I130" s="1">
        <v>9</v>
      </c>
      <c r="J130" s="1" t="str">
        <f t="shared" si="14"/>
        <v>否</v>
      </c>
      <c r="K130" s="1">
        <f t="shared" si="11"/>
        <v>72</v>
      </c>
      <c r="L130" t="s">
        <v>37</v>
      </c>
    </row>
    <row r="131" hidden="1" spans="1:12">
      <c r="A131" s="2" t="s">
        <v>386</v>
      </c>
      <c r="B131" s="2" t="s">
        <v>20</v>
      </c>
      <c r="C131" s="1" t="s">
        <v>394</v>
      </c>
      <c r="D131" s="1" t="s">
        <v>395</v>
      </c>
      <c r="E131" s="1">
        <v>3521123414</v>
      </c>
      <c r="F131" s="1">
        <v>19986211375</v>
      </c>
      <c r="G131" s="1" t="s">
        <v>393</v>
      </c>
      <c r="H131" s="1">
        <v>29</v>
      </c>
      <c r="I131" s="1">
        <v>4</v>
      </c>
      <c r="J131" s="1" t="s">
        <v>19</v>
      </c>
      <c r="K131" s="1">
        <f t="shared" si="11"/>
        <v>32</v>
      </c>
      <c r="L131" t="s">
        <v>81</v>
      </c>
    </row>
    <row r="132" spans="1:12">
      <c r="A132" s="2" t="s">
        <v>396</v>
      </c>
      <c r="B132" s="2" t="s">
        <v>175</v>
      </c>
      <c r="C132" s="1" t="s">
        <v>82</v>
      </c>
      <c r="D132" s="1" t="s">
        <v>397</v>
      </c>
      <c r="E132" s="1">
        <v>3230895335</v>
      </c>
      <c r="F132" s="1">
        <v>19376683137</v>
      </c>
      <c r="G132" s="1" t="s">
        <v>398</v>
      </c>
      <c r="H132" s="1">
        <v>36</v>
      </c>
      <c r="I132" s="1">
        <v>36</v>
      </c>
      <c r="J132" s="1" t="s">
        <v>71</v>
      </c>
      <c r="K132" s="1">
        <f t="shared" si="11"/>
        <v>288</v>
      </c>
    </row>
    <row r="133" spans="1:12">
      <c r="A133" s="2" t="s">
        <v>396</v>
      </c>
      <c r="B133" s="2" t="s">
        <v>175</v>
      </c>
      <c r="C133" s="1" t="s">
        <v>85</v>
      </c>
      <c r="D133" s="1" t="s">
        <v>399</v>
      </c>
      <c r="E133" s="1">
        <v>1321523759</v>
      </c>
      <c r="F133" s="1">
        <v>13135322726</v>
      </c>
      <c r="G133" s="1" t="s">
        <v>400</v>
      </c>
      <c r="H133" s="1">
        <v>36</v>
      </c>
      <c r="I133" s="1">
        <v>36</v>
      </c>
      <c r="J133" s="1" t="s">
        <v>71</v>
      </c>
      <c r="K133" s="1">
        <f t="shared" si="11"/>
        <v>288</v>
      </c>
      <c r="L133" t="s">
        <v>117</v>
      </c>
    </row>
    <row r="134" spans="1:12">
      <c r="A134" s="2" t="s">
        <v>396</v>
      </c>
      <c r="B134" s="2" t="s">
        <v>175</v>
      </c>
      <c r="C134" s="1" t="s">
        <v>78</v>
      </c>
      <c r="D134" s="1" t="s">
        <v>401</v>
      </c>
      <c r="E134" s="1">
        <v>2022601747</v>
      </c>
      <c r="F134" s="1">
        <v>13187025001</v>
      </c>
      <c r="G134" s="1" t="s">
        <v>402</v>
      </c>
      <c r="H134" s="1">
        <v>36</v>
      </c>
      <c r="I134" s="1">
        <v>36</v>
      </c>
      <c r="J134" s="1" t="str">
        <f t="shared" ref="J134:J141" si="15">IF(I134/H134&lt;0.5,"否","是")</f>
        <v>是</v>
      </c>
      <c r="K134" s="1">
        <f t="shared" si="11"/>
        <v>288</v>
      </c>
      <c r="L134" t="s">
        <v>117</v>
      </c>
    </row>
    <row r="135" spans="1:12">
      <c r="A135" s="2" t="s">
        <v>396</v>
      </c>
      <c r="B135" s="2" t="s">
        <v>175</v>
      </c>
      <c r="C135" s="1" t="s">
        <v>403</v>
      </c>
      <c r="D135" s="1" t="s">
        <v>404</v>
      </c>
      <c r="E135" s="1">
        <v>2653702646</v>
      </c>
      <c r="F135" s="1">
        <v>19196018568</v>
      </c>
      <c r="G135" s="1" t="s">
        <v>405</v>
      </c>
      <c r="H135" s="1">
        <v>34</v>
      </c>
      <c r="I135" s="1">
        <v>34</v>
      </c>
      <c r="J135" s="1" t="s">
        <v>71</v>
      </c>
      <c r="K135" s="1">
        <f t="shared" si="11"/>
        <v>272</v>
      </c>
    </row>
    <row r="136" spans="1:12">
      <c r="A136" s="2" t="s">
        <v>396</v>
      </c>
      <c r="B136" s="1" t="s">
        <v>107</v>
      </c>
      <c r="C136" s="1" t="s">
        <v>167</v>
      </c>
      <c r="D136" s="1" t="s">
        <v>406</v>
      </c>
      <c r="E136" s="1">
        <v>3394162164</v>
      </c>
      <c r="F136" s="1">
        <v>17773517806</v>
      </c>
      <c r="G136" s="1" t="s">
        <v>407</v>
      </c>
      <c r="H136" s="1">
        <v>27</v>
      </c>
      <c r="I136" s="1">
        <v>27</v>
      </c>
      <c r="J136" s="1" t="s">
        <v>71</v>
      </c>
      <c r="K136" s="1">
        <f t="shared" si="11"/>
        <v>216</v>
      </c>
    </row>
    <row r="137" spans="1:12">
      <c r="A137" s="2" t="s">
        <v>396</v>
      </c>
      <c r="B137" s="1" t="s">
        <v>20</v>
      </c>
      <c r="C137" s="1" t="s">
        <v>408</v>
      </c>
      <c r="D137" s="1" t="s">
        <v>409</v>
      </c>
      <c r="E137" s="1">
        <v>1106540196</v>
      </c>
      <c r="F137" s="1">
        <v>18973748683</v>
      </c>
      <c r="G137" s="1" t="s">
        <v>410</v>
      </c>
      <c r="H137" s="1">
        <v>27</v>
      </c>
      <c r="I137" s="1">
        <v>27</v>
      </c>
      <c r="J137" s="1" t="s">
        <v>71</v>
      </c>
      <c r="K137" s="1">
        <f t="shared" si="11"/>
        <v>216</v>
      </c>
    </row>
    <row r="138" spans="1:12">
      <c r="A138" s="2" t="s">
        <v>411</v>
      </c>
      <c r="B138" s="1" t="s">
        <v>175</v>
      </c>
      <c r="C138" s="1" t="s">
        <v>412</v>
      </c>
      <c r="D138" s="1" t="s">
        <v>413</v>
      </c>
      <c r="E138" s="1">
        <v>1938726166</v>
      </c>
      <c r="F138" s="1">
        <v>15575252429</v>
      </c>
      <c r="G138" s="1" t="s">
        <v>414</v>
      </c>
      <c r="H138" s="1">
        <v>37</v>
      </c>
      <c r="I138" s="3">
        <v>37</v>
      </c>
      <c r="J138" s="1" t="str">
        <f t="shared" si="15"/>
        <v>是</v>
      </c>
      <c r="K138" s="1">
        <f t="shared" si="11"/>
        <v>296</v>
      </c>
      <c r="L138" t="s">
        <v>222</v>
      </c>
    </row>
    <row r="139" spans="1:12">
      <c r="A139" s="2" t="s">
        <v>411</v>
      </c>
      <c r="B139" s="2" t="s">
        <v>12</v>
      </c>
      <c r="C139" s="1" t="s">
        <v>415</v>
      </c>
      <c r="D139" s="1" t="s">
        <v>416</v>
      </c>
      <c r="E139" s="3">
        <v>2497621284</v>
      </c>
      <c r="F139" s="1">
        <v>19831039638</v>
      </c>
      <c r="G139" s="4" t="s">
        <v>417</v>
      </c>
      <c r="H139" s="1">
        <v>40</v>
      </c>
      <c r="I139" s="3">
        <v>20</v>
      </c>
      <c r="J139" s="1" t="str">
        <f t="shared" si="15"/>
        <v>是</v>
      </c>
      <c r="K139" s="1">
        <f t="shared" si="11"/>
        <v>160</v>
      </c>
      <c r="L139" t="s">
        <v>368</v>
      </c>
    </row>
    <row r="140" hidden="1" spans="1:12">
      <c r="A140" s="2" t="s">
        <v>411</v>
      </c>
      <c r="B140" s="2" t="s">
        <v>12</v>
      </c>
      <c r="C140" s="1" t="s">
        <v>418</v>
      </c>
      <c r="D140" s="1" t="s">
        <v>419</v>
      </c>
      <c r="E140" s="1">
        <v>1825235998</v>
      </c>
      <c r="F140" s="1">
        <v>13563213769</v>
      </c>
      <c r="G140" s="1" t="s">
        <v>420</v>
      </c>
      <c r="H140" s="1">
        <v>39</v>
      </c>
      <c r="I140" s="1">
        <v>6</v>
      </c>
      <c r="J140" s="1" t="str">
        <f t="shared" si="15"/>
        <v>否</v>
      </c>
      <c r="K140" s="1">
        <f t="shared" si="11"/>
        <v>48</v>
      </c>
    </row>
    <row r="141" spans="1:12">
      <c r="A141" s="2" t="s">
        <v>411</v>
      </c>
      <c r="B141" s="2" t="s">
        <v>12</v>
      </c>
      <c r="C141" s="1" t="s">
        <v>421</v>
      </c>
      <c r="D141" s="1" t="s">
        <v>422</v>
      </c>
      <c r="E141" s="1">
        <v>3468243849</v>
      </c>
      <c r="F141" s="1">
        <v>15570946029</v>
      </c>
      <c r="G141" s="1" t="s">
        <v>423</v>
      </c>
      <c r="H141" s="1">
        <v>40</v>
      </c>
      <c r="I141" s="1">
        <v>20</v>
      </c>
      <c r="J141" s="1" t="str">
        <f t="shared" si="15"/>
        <v>是</v>
      </c>
      <c r="K141" s="1">
        <f t="shared" si="11"/>
        <v>160</v>
      </c>
    </row>
    <row r="142" spans="1:12">
      <c r="A142" s="2" t="s">
        <v>411</v>
      </c>
      <c r="B142" s="2" t="s">
        <v>12</v>
      </c>
      <c r="C142" s="1" t="s">
        <v>424</v>
      </c>
      <c r="D142" s="1" t="s">
        <v>425</v>
      </c>
      <c r="E142" s="1">
        <v>1330833249</v>
      </c>
      <c r="F142" s="1">
        <v>18397785972</v>
      </c>
      <c r="G142" s="1" t="s">
        <v>426</v>
      </c>
      <c r="H142" s="1">
        <v>39</v>
      </c>
      <c r="I142" s="1">
        <v>39</v>
      </c>
      <c r="J142" s="1" t="s">
        <v>71</v>
      </c>
      <c r="K142" s="1">
        <f t="shared" si="11"/>
        <v>312</v>
      </c>
    </row>
    <row r="143" spans="1:12">
      <c r="A143" s="2" t="s">
        <v>411</v>
      </c>
      <c r="B143" s="2" t="s">
        <v>20</v>
      </c>
      <c r="C143" s="1" t="s">
        <v>427</v>
      </c>
      <c r="D143" s="1" t="s">
        <v>428</v>
      </c>
      <c r="E143" s="3">
        <v>1447954153</v>
      </c>
      <c r="F143" s="1">
        <v>19904578858</v>
      </c>
      <c r="G143" s="1" t="s">
        <v>429</v>
      </c>
      <c r="H143" s="1">
        <v>35</v>
      </c>
      <c r="I143" s="3">
        <v>35</v>
      </c>
      <c r="J143" s="1" t="str">
        <f t="shared" ref="J143:J145" si="16">IF(I143/H143&lt;0.5,"否","是")</f>
        <v>是</v>
      </c>
      <c r="K143" s="1">
        <f t="shared" si="11"/>
        <v>280</v>
      </c>
      <c r="L143" t="s">
        <v>430</v>
      </c>
    </row>
    <row r="144" spans="1:12">
      <c r="A144" s="2" t="s">
        <v>411</v>
      </c>
      <c r="B144" s="2" t="s">
        <v>20</v>
      </c>
      <c r="C144" s="1" t="s">
        <v>431</v>
      </c>
      <c r="D144" s="1" t="s">
        <v>432</v>
      </c>
      <c r="E144" s="1">
        <v>3228237025</v>
      </c>
      <c r="F144" s="1">
        <v>15973108772</v>
      </c>
      <c r="G144" s="1" t="s">
        <v>433</v>
      </c>
      <c r="H144" s="1">
        <v>29</v>
      </c>
      <c r="I144" s="3">
        <v>29</v>
      </c>
      <c r="J144" s="1" t="str">
        <f t="shared" si="16"/>
        <v>是</v>
      </c>
      <c r="K144" s="1">
        <f t="shared" si="11"/>
        <v>232</v>
      </c>
      <c r="L144" t="s">
        <v>430</v>
      </c>
    </row>
    <row r="145" spans="1:12">
      <c r="A145" s="2" t="s">
        <v>411</v>
      </c>
      <c r="B145" s="2" t="s">
        <v>20</v>
      </c>
      <c r="C145" s="1" t="s">
        <v>434</v>
      </c>
      <c r="D145" s="1" t="s">
        <v>435</v>
      </c>
      <c r="E145" s="1">
        <v>3203593662</v>
      </c>
      <c r="F145" s="1">
        <v>18570209869</v>
      </c>
      <c r="G145" s="1" t="s">
        <v>436</v>
      </c>
      <c r="H145" s="1">
        <v>35</v>
      </c>
      <c r="I145" s="3">
        <v>19</v>
      </c>
      <c r="J145" s="1" t="str">
        <f t="shared" si="16"/>
        <v>是</v>
      </c>
      <c r="K145" s="1">
        <f t="shared" si="11"/>
        <v>152</v>
      </c>
      <c r="L145" t="s">
        <v>430</v>
      </c>
    </row>
  </sheetData>
  <autoFilter xmlns:etc="http://www.wps.cn/officeDocument/2017/etCustomData" ref="J1:J145" etc:filterBottomFollowUsedRange="0">
    <filterColumn colId="0">
      <customFilters>
        <customFilter operator="equal" val="是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opLeftCell="A62" workbookViewId="0">
      <selection activeCell="A1" sqref="A1:K102"/>
    </sheetView>
  </sheetViews>
  <sheetFormatPr defaultColWidth="8.72727272727273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20</v>
      </c>
      <c r="C2" s="1" t="s">
        <v>13</v>
      </c>
      <c r="D2" s="1" t="s">
        <v>21</v>
      </c>
      <c r="E2" s="1">
        <v>3416200752</v>
      </c>
      <c r="F2" s="1">
        <v>18145977129</v>
      </c>
      <c r="G2" s="1" t="s">
        <v>22</v>
      </c>
      <c r="H2" s="1">
        <v>32</v>
      </c>
      <c r="I2" s="3">
        <v>32</v>
      </c>
      <c r="J2" s="1" t="s">
        <v>71</v>
      </c>
      <c r="K2" s="1">
        <v>256</v>
      </c>
    </row>
    <row r="3" spans="1:11">
      <c r="A3" s="2" t="s">
        <v>11</v>
      </c>
      <c r="B3" s="2" t="s">
        <v>20</v>
      </c>
      <c r="C3" s="1" t="s">
        <v>24</v>
      </c>
      <c r="D3" s="1" t="s">
        <v>25</v>
      </c>
      <c r="E3" s="1">
        <v>293584659</v>
      </c>
      <c r="F3" s="1">
        <v>17562451358</v>
      </c>
      <c r="G3" s="1" t="s">
        <v>26</v>
      </c>
      <c r="H3" s="1">
        <v>29</v>
      </c>
      <c r="I3" s="3">
        <v>29</v>
      </c>
      <c r="J3" s="1" t="s">
        <v>71</v>
      </c>
      <c r="K3" s="1">
        <v>232</v>
      </c>
    </row>
    <row r="4" spans="1:11">
      <c r="A4" s="2" t="s">
        <v>54</v>
      </c>
      <c r="B4" s="2" t="s">
        <v>20</v>
      </c>
      <c r="C4" s="1" t="s">
        <v>55</v>
      </c>
      <c r="D4" s="1" t="s">
        <v>56</v>
      </c>
      <c r="E4" s="1">
        <v>2159135638</v>
      </c>
      <c r="F4" s="1">
        <v>16692237232</v>
      </c>
      <c r="G4" s="1" t="s">
        <v>57</v>
      </c>
      <c r="H4" s="1">
        <v>24</v>
      </c>
      <c r="I4" s="1">
        <v>24</v>
      </c>
      <c r="J4" s="1" t="s">
        <v>71</v>
      </c>
      <c r="K4" s="1">
        <v>192</v>
      </c>
    </row>
    <row r="5" spans="1:11">
      <c r="A5" s="2" t="s">
        <v>54</v>
      </c>
      <c r="B5" s="2" t="s">
        <v>20</v>
      </c>
      <c r="C5" s="1" t="s">
        <v>59</v>
      </c>
      <c r="D5" s="1" t="s">
        <v>60</v>
      </c>
      <c r="E5" s="1">
        <v>3331083794</v>
      </c>
      <c r="F5" s="1">
        <v>18867455807</v>
      </c>
      <c r="G5" s="1" t="s">
        <v>61</v>
      </c>
      <c r="H5" s="1">
        <v>23</v>
      </c>
      <c r="I5" s="3">
        <v>23</v>
      </c>
      <c r="J5" s="1" t="s">
        <v>71</v>
      </c>
      <c r="K5" s="1">
        <v>184</v>
      </c>
    </row>
    <row r="6" spans="1:11">
      <c r="A6" s="2" t="s">
        <v>54</v>
      </c>
      <c r="B6" s="2" t="s">
        <v>20</v>
      </c>
      <c r="C6" s="1" t="s">
        <v>62</v>
      </c>
      <c r="D6" s="1" t="s">
        <v>63</v>
      </c>
      <c r="E6" s="1">
        <v>2763953712</v>
      </c>
      <c r="F6" s="1">
        <v>18873988172</v>
      </c>
      <c r="G6" s="1" t="s">
        <v>64</v>
      </c>
      <c r="H6" s="1">
        <v>23</v>
      </c>
      <c r="I6" s="3">
        <v>13</v>
      </c>
      <c r="J6" s="1" t="s">
        <v>71</v>
      </c>
      <c r="K6" s="1">
        <v>104</v>
      </c>
    </row>
    <row r="7" spans="1:11">
      <c r="A7" s="2" t="s">
        <v>54</v>
      </c>
      <c r="B7" s="2" t="s">
        <v>20</v>
      </c>
      <c r="C7" s="1" t="s">
        <v>65</v>
      </c>
      <c r="D7" s="1" t="s">
        <v>66</v>
      </c>
      <c r="E7" s="1">
        <v>1914424122</v>
      </c>
      <c r="F7" s="1">
        <v>19918071620</v>
      </c>
      <c r="G7" s="1" t="s">
        <v>57</v>
      </c>
      <c r="H7" s="1">
        <v>25</v>
      </c>
      <c r="I7" s="3">
        <v>15</v>
      </c>
      <c r="J7" s="1" t="s">
        <v>71</v>
      </c>
      <c r="K7" s="1">
        <v>120</v>
      </c>
    </row>
    <row r="8" spans="1:11">
      <c r="A8" s="2" t="s">
        <v>67</v>
      </c>
      <c r="B8" s="2" t="s">
        <v>12</v>
      </c>
      <c r="C8" s="1" t="s">
        <v>68</v>
      </c>
      <c r="D8" s="1" t="s">
        <v>69</v>
      </c>
      <c r="E8" s="1">
        <v>3553571838</v>
      </c>
      <c r="F8" s="1">
        <v>13843369538</v>
      </c>
      <c r="G8" s="1" t="s">
        <v>70</v>
      </c>
      <c r="H8" s="1">
        <v>39</v>
      </c>
      <c r="I8" s="1">
        <v>26</v>
      </c>
      <c r="J8" s="1" t="s">
        <v>71</v>
      </c>
      <c r="K8" s="1">
        <v>208</v>
      </c>
    </row>
    <row r="9" spans="1:11">
      <c r="A9" s="2" t="s">
        <v>67</v>
      </c>
      <c r="B9" s="2" t="s">
        <v>12</v>
      </c>
      <c r="C9" s="1" t="s">
        <v>72</v>
      </c>
      <c r="D9" s="1" t="s">
        <v>73</v>
      </c>
      <c r="E9" s="1">
        <v>1503789340</v>
      </c>
      <c r="F9" s="1">
        <v>13566701895</v>
      </c>
      <c r="G9" s="1" t="s">
        <v>74</v>
      </c>
      <c r="H9" s="1">
        <v>49</v>
      </c>
      <c r="I9" s="1">
        <v>49</v>
      </c>
      <c r="J9" s="1" t="s">
        <v>71</v>
      </c>
      <c r="K9" s="1">
        <v>392</v>
      </c>
    </row>
    <row r="10" spans="1:11">
      <c r="A10" s="2" t="s">
        <v>67</v>
      </c>
      <c r="B10" s="2" t="s">
        <v>12</v>
      </c>
      <c r="C10" s="1" t="s">
        <v>75</v>
      </c>
      <c r="D10" s="1" t="s">
        <v>76</v>
      </c>
      <c r="E10" s="1">
        <v>1728448928</v>
      </c>
      <c r="F10" s="1">
        <v>18620060525</v>
      </c>
      <c r="G10" s="1" t="s">
        <v>77</v>
      </c>
      <c r="H10" s="1">
        <v>51</v>
      </c>
      <c r="I10" s="1">
        <v>38</v>
      </c>
      <c r="J10" s="1" t="s">
        <v>71</v>
      </c>
      <c r="K10" s="1">
        <v>304</v>
      </c>
    </row>
    <row r="11" spans="1:11">
      <c r="A11" s="2" t="s">
        <v>67</v>
      </c>
      <c r="B11" s="2" t="s">
        <v>20</v>
      </c>
      <c r="C11" s="1" t="s">
        <v>78</v>
      </c>
      <c r="D11" s="1" t="s">
        <v>79</v>
      </c>
      <c r="E11" s="1">
        <v>3255532126</v>
      </c>
      <c r="F11" s="1">
        <v>18102420206</v>
      </c>
      <c r="G11" s="1" t="s">
        <v>80</v>
      </c>
      <c r="H11" s="1">
        <v>37</v>
      </c>
      <c r="I11" s="3">
        <v>35</v>
      </c>
      <c r="J11" s="1" t="s">
        <v>71</v>
      </c>
      <c r="K11" s="1">
        <v>280</v>
      </c>
    </row>
    <row r="12" spans="1:11">
      <c r="A12" s="2" t="s">
        <v>67</v>
      </c>
      <c r="B12" s="2" t="s">
        <v>20</v>
      </c>
      <c r="C12" s="1" t="s">
        <v>82</v>
      </c>
      <c r="D12" s="1" t="s">
        <v>83</v>
      </c>
      <c r="E12" s="1">
        <v>3812344298</v>
      </c>
      <c r="F12" s="1">
        <v>19217420637</v>
      </c>
      <c r="G12" s="1" t="s">
        <v>84</v>
      </c>
      <c r="H12" s="1">
        <v>37</v>
      </c>
      <c r="I12" s="3">
        <v>28</v>
      </c>
      <c r="J12" s="1" t="s">
        <v>71</v>
      </c>
      <c r="K12" s="1">
        <v>224</v>
      </c>
    </row>
    <row r="13" spans="1:11">
      <c r="A13" s="2" t="s">
        <v>67</v>
      </c>
      <c r="B13" s="2" t="s">
        <v>20</v>
      </c>
      <c r="C13" s="1" t="s">
        <v>85</v>
      </c>
      <c r="D13" s="1" t="s">
        <v>86</v>
      </c>
      <c r="E13" s="1">
        <v>417473370</v>
      </c>
      <c r="F13" s="1">
        <v>15762671192</v>
      </c>
      <c r="G13" s="1" t="s">
        <v>87</v>
      </c>
      <c r="H13" s="1">
        <v>38</v>
      </c>
      <c r="I13" s="3">
        <v>31</v>
      </c>
      <c r="J13" s="1" t="s">
        <v>71</v>
      </c>
      <c r="K13" s="1">
        <v>248</v>
      </c>
    </row>
    <row r="14" spans="1:11">
      <c r="A14" s="2" t="s">
        <v>67</v>
      </c>
      <c r="B14" s="2" t="s">
        <v>20</v>
      </c>
      <c r="C14" s="1" t="s">
        <v>68</v>
      </c>
      <c r="D14" s="1" t="s">
        <v>88</v>
      </c>
      <c r="E14" s="1"/>
      <c r="F14" s="1">
        <v>15367604693</v>
      </c>
      <c r="G14" s="1" t="s">
        <v>89</v>
      </c>
      <c r="H14" s="1">
        <v>38</v>
      </c>
      <c r="I14" s="3">
        <v>32</v>
      </c>
      <c r="J14" s="1" t="s">
        <v>71</v>
      </c>
      <c r="K14" s="1">
        <v>256</v>
      </c>
    </row>
    <row r="15" spans="1:11">
      <c r="A15" s="2" t="s">
        <v>67</v>
      </c>
      <c r="B15" s="2" t="s">
        <v>20</v>
      </c>
      <c r="C15" s="1" t="s">
        <v>93</v>
      </c>
      <c r="D15" s="1" t="s">
        <v>94</v>
      </c>
      <c r="E15" s="1">
        <v>2827257524</v>
      </c>
      <c r="F15" s="1">
        <v>13375487537</v>
      </c>
      <c r="G15" s="1" t="s">
        <v>95</v>
      </c>
      <c r="H15" s="1">
        <v>29</v>
      </c>
      <c r="I15" s="3">
        <v>29</v>
      </c>
      <c r="J15" s="1" t="s">
        <v>71</v>
      </c>
      <c r="K15" s="1">
        <v>232</v>
      </c>
    </row>
    <row r="16" spans="1:11">
      <c r="A16" s="2" t="s">
        <v>67</v>
      </c>
      <c r="B16" s="2" t="s">
        <v>20</v>
      </c>
      <c r="C16" s="1" t="s">
        <v>96</v>
      </c>
      <c r="D16" s="1" t="s">
        <v>97</v>
      </c>
      <c r="E16" s="1">
        <v>3304528782</v>
      </c>
      <c r="F16" s="1">
        <v>18090425921</v>
      </c>
      <c r="G16" s="1" t="s">
        <v>98</v>
      </c>
      <c r="H16" s="1">
        <v>39</v>
      </c>
      <c r="I16" s="3">
        <v>38</v>
      </c>
      <c r="J16" s="1" t="s">
        <v>71</v>
      </c>
      <c r="K16" s="1">
        <v>304</v>
      </c>
    </row>
    <row r="17" spans="1:11">
      <c r="A17" s="2" t="s">
        <v>67</v>
      </c>
      <c r="B17" s="2" t="s">
        <v>20</v>
      </c>
      <c r="C17" s="1" t="s">
        <v>99</v>
      </c>
      <c r="D17" s="1" t="s">
        <v>100</v>
      </c>
      <c r="E17" s="1">
        <v>2690674839</v>
      </c>
      <c r="F17" s="1">
        <v>19579688312</v>
      </c>
      <c r="G17" s="1" t="s">
        <v>101</v>
      </c>
      <c r="H17" s="1">
        <v>40</v>
      </c>
      <c r="I17" s="3">
        <v>20</v>
      </c>
      <c r="J17" s="1" t="s">
        <v>71</v>
      </c>
      <c r="K17" s="1">
        <v>160</v>
      </c>
    </row>
    <row r="18" spans="1:11">
      <c r="A18" s="2" t="s">
        <v>67</v>
      </c>
      <c r="B18" s="2" t="s">
        <v>20</v>
      </c>
      <c r="C18" s="1" t="s">
        <v>72</v>
      </c>
      <c r="D18" s="1" t="s">
        <v>102</v>
      </c>
      <c r="E18" s="1">
        <v>1162622153</v>
      </c>
      <c r="F18" s="1">
        <v>18555680950</v>
      </c>
      <c r="G18" s="1" t="s">
        <v>103</v>
      </c>
      <c r="H18" s="1">
        <v>40</v>
      </c>
      <c r="I18" s="3">
        <v>36</v>
      </c>
      <c r="J18" s="1" t="s">
        <v>71</v>
      </c>
      <c r="K18" s="1">
        <v>288</v>
      </c>
    </row>
    <row r="19" spans="1:11">
      <c r="A19" s="2" t="s">
        <v>67</v>
      </c>
      <c r="B19" s="2" t="s">
        <v>20</v>
      </c>
      <c r="C19" s="1" t="s">
        <v>75</v>
      </c>
      <c r="D19" s="1" t="s">
        <v>104</v>
      </c>
      <c r="E19" s="1">
        <v>2332601085</v>
      </c>
      <c r="F19" s="1">
        <v>15187526471</v>
      </c>
      <c r="G19" s="1" t="s">
        <v>105</v>
      </c>
      <c r="H19" s="1">
        <v>40</v>
      </c>
      <c r="I19" s="3">
        <v>38</v>
      </c>
      <c r="J19" s="1" t="s">
        <v>71</v>
      </c>
      <c r="K19" s="1">
        <v>304</v>
      </c>
    </row>
    <row r="20" spans="1:11">
      <c r="A20" s="2" t="s">
        <v>106</v>
      </c>
      <c r="B20" s="2" t="s">
        <v>12</v>
      </c>
      <c r="C20" s="1" t="s">
        <v>114</v>
      </c>
      <c r="D20" s="1" t="s">
        <v>115</v>
      </c>
      <c r="E20" s="1">
        <v>2978227252</v>
      </c>
      <c r="F20" s="1">
        <v>18823283140</v>
      </c>
      <c r="G20" s="1" t="s">
        <v>116</v>
      </c>
      <c r="H20" s="1">
        <v>39</v>
      </c>
      <c r="I20" s="3">
        <v>25</v>
      </c>
      <c r="J20" s="1" t="s">
        <v>71</v>
      </c>
      <c r="K20" s="1">
        <v>200</v>
      </c>
    </row>
    <row r="21" spans="1:11">
      <c r="A21" s="2" t="s">
        <v>106</v>
      </c>
      <c r="B21" s="2" t="s">
        <v>12</v>
      </c>
      <c r="C21" s="1" t="s">
        <v>118</v>
      </c>
      <c r="D21" s="4" t="s">
        <v>119</v>
      </c>
      <c r="E21" s="1">
        <v>2515384386</v>
      </c>
      <c r="F21" s="1">
        <v>17267106402</v>
      </c>
      <c r="G21" s="1" t="s">
        <v>120</v>
      </c>
      <c r="H21" s="1">
        <v>32</v>
      </c>
      <c r="I21" s="3">
        <v>16</v>
      </c>
      <c r="J21" s="1" t="s">
        <v>71</v>
      </c>
      <c r="K21" s="1">
        <v>128</v>
      </c>
    </row>
    <row r="22" spans="1:11">
      <c r="A22" s="2" t="s">
        <v>106</v>
      </c>
      <c r="B22" s="2" t="s">
        <v>20</v>
      </c>
      <c r="C22" s="1" t="s">
        <v>108</v>
      </c>
      <c r="D22" s="1" t="s">
        <v>121</v>
      </c>
      <c r="E22" s="1">
        <v>3531491938</v>
      </c>
      <c r="F22" s="1">
        <v>13907646823</v>
      </c>
      <c r="G22" s="1" t="s">
        <v>122</v>
      </c>
      <c r="H22" s="1">
        <v>40</v>
      </c>
      <c r="I22" s="3">
        <v>28</v>
      </c>
      <c r="J22" s="1" t="s">
        <v>71</v>
      </c>
      <c r="K22" s="1">
        <v>224</v>
      </c>
    </row>
    <row r="23" spans="1:11">
      <c r="A23" s="2" t="s">
        <v>106</v>
      </c>
      <c r="B23" s="2" t="s">
        <v>20</v>
      </c>
      <c r="C23" s="1" t="s">
        <v>124</v>
      </c>
      <c r="D23" s="1" t="s">
        <v>125</v>
      </c>
      <c r="E23" s="1">
        <v>2251243248</v>
      </c>
      <c r="F23" s="1">
        <v>18833054010</v>
      </c>
      <c r="G23" s="1" t="s">
        <v>126</v>
      </c>
      <c r="H23" s="1">
        <v>30</v>
      </c>
      <c r="I23" s="3">
        <v>27</v>
      </c>
      <c r="J23" s="1" t="s">
        <v>71</v>
      </c>
      <c r="K23" s="1">
        <v>216</v>
      </c>
    </row>
    <row r="24" spans="1:11">
      <c r="A24" s="2" t="s">
        <v>106</v>
      </c>
      <c r="B24" s="2" t="s">
        <v>20</v>
      </c>
      <c r="C24" s="1" t="s">
        <v>127</v>
      </c>
      <c r="D24" s="1" t="s">
        <v>128</v>
      </c>
      <c r="E24" s="1">
        <v>3796359814</v>
      </c>
      <c r="F24" s="1">
        <v>15502218910</v>
      </c>
      <c r="G24" s="1" t="s">
        <v>129</v>
      </c>
      <c r="H24" s="1">
        <v>39</v>
      </c>
      <c r="I24" s="3">
        <v>33</v>
      </c>
      <c r="J24" s="1" t="s">
        <v>71</v>
      </c>
      <c r="K24" s="1">
        <v>264</v>
      </c>
    </row>
    <row r="25" spans="1:11">
      <c r="A25" s="2" t="s">
        <v>106</v>
      </c>
      <c r="B25" s="2" t="s">
        <v>20</v>
      </c>
      <c r="C25" s="1" t="s">
        <v>131</v>
      </c>
      <c r="D25" s="4" t="s">
        <v>132</v>
      </c>
      <c r="E25" s="3">
        <v>480945264</v>
      </c>
      <c r="F25" s="3">
        <v>18711231668</v>
      </c>
      <c r="G25" s="4" t="s">
        <v>133</v>
      </c>
      <c r="H25" s="1">
        <v>39</v>
      </c>
      <c r="I25" s="3">
        <v>23</v>
      </c>
      <c r="J25" s="1" t="s">
        <v>71</v>
      </c>
      <c r="K25" s="1">
        <v>184</v>
      </c>
    </row>
    <row r="26" spans="1:11">
      <c r="A26" s="2" t="s">
        <v>106</v>
      </c>
      <c r="B26" s="2" t="s">
        <v>20</v>
      </c>
      <c r="C26" s="1" t="s">
        <v>114</v>
      </c>
      <c r="D26" s="1" t="s">
        <v>134</v>
      </c>
      <c r="E26" s="1">
        <v>2428765394</v>
      </c>
      <c r="F26" s="1">
        <v>15097832683</v>
      </c>
      <c r="G26" s="1" t="s">
        <v>135</v>
      </c>
      <c r="H26" s="1">
        <v>40</v>
      </c>
      <c r="I26" s="1">
        <v>33</v>
      </c>
      <c r="J26" s="1" t="s">
        <v>71</v>
      </c>
      <c r="K26" s="1">
        <v>264</v>
      </c>
    </row>
    <row r="27" spans="1:11">
      <c r="A27" s="2" t="s">
        <v>106</v>
      </c>
      <c r="B27" s="2" t="s">
        <v>20</v>
      </c>
      <c r="C27" s="1" t="s">
        <v>118</v>
      </c>
      <c r="D27" s="1" t="s">
        <v>136</v>
      </c>
      <c r="E27" s="3">
        <v>1094164647</v>
      </c>
      <c r="F27" s="1">
        <v>18573223081</v>
      </c>
      <c r="G27" s="4" t="s">
        <v>137</v>
      </c>
      <c r="H27" s="1">
        <v>40</v>
      </c>
      <c r="I27" s="3">
        <v>34</v>
      </c>
      <c r="J27" s="1" t="s">
        <v>71</v>
      </c>
      <c r="K27" s="1">
        <v>272</v>
      </c>
    </row>
    <row r="28" spans="1:11">
      <c r="A28" s="2" t="s">
        <v>141</v>
      </c>
      <c r="B28" s="2" t="s">
        <v>12</v>
      </c>
      <c r="C28" s="1" t="s">
        <v>142</v>
      </c>
      <c r="D28" s="1" t="s">
        <v>143</v>
      </c>
      <c r="E28" s="1">
        <v>577320391</v>
      </c>
      <c r="F28" s="1">
        <v>18773566950</v>
      </c>
      <c r="G28" s="1" t="s">
        <v>144</v>
      </c>
      <c r="H28" s="1">
        <v>30</v>
      </c>
      <c r="I28" s="3">
        <v>15</v>
      </c>
      <c r="J28" s="1" t="s">
        <v>71</v>
      </c>
      <c r="K28" s="1">
        <v>120</v>
      </c>
    </row>
    <row r="29" spans="1:11">
      <c r="A29" s="2" t="s">
        <v>141</v>
      </c>
      <c r="B29" s="2" t="s">
        <v>12</v>
      </c>
      <c r="C29" s="1" t="s">
        <v>148</v>
      </c>
      <c r="D29" s="1" t="s">
        <v>117</v>
      </c>
      <c r="E29" s="1">
        <v>3026173184</v>
      </c>
      <c r="F29" s="1">
        <v>18570072301</v>
      </c>
      <c r="G29" s="1" t="s">
        <v>149</v>
      </c>
      <c r="H29" s="1">
        <v>35</v>
      </c>
      <c r="I29" s="3">
        <v>19</v>
      </c>
      <c r="J29" s="1" t="s">
        <v>71</v>
      </c>
      <c r="K29" s="1">
        <v>152</v>
      </c>
    </row>
    <row r="30" spans="1:11">
      <c r="A30" s="2" t="s">
        <v>141</v>
      </c>
      <c r="B30" s="2" t="s">
        <v>12</v>
      </c>
      <c r="C30" s="1" t="s">
        <v>150</v>
      </c>
      <c r="D30" s="1" t="s">
        <v>151</v>
      </c>
      <c r="E30" s="1">
        <v>2793708909</v>
      </c>
      <c r="F30" s="1">
        <v>17673398717</v>
      </c>
      <c r="G30" s="1" t="s">
        <v>152</v>
      </c>
      <c r="H30" s="1">
        <v>35</v>
      </c>
      <c r="I30" s="1">
        <v>25</v>
      </c>
      <c r="J30" s="1" t="s">
        <v>71</v>
      </c>
      <c r="K30" s="1">
        <v>200</v>
      </c>
    </row>
    <row r="31" spans="1:11">
      <c r="A31" s="2" t="s">
        <v>141</v>
      </c>
      <c r="B31" s="2" t="s">
        <v>20</v>
      </c>
      <c r="C31" s="1" t="s">
        <v>156</v>
      </c>
      <c r="D31" s="1" t="s">
        <v>157</v>
      </c>
      <c r="E31" s="1">
        <v>2947678084</v>
      </c>
      <c r="F31" s="1">
        <v>15526289309</v>
      </c>
      <c r="G31" s="1" t="s">
        <v>158</v>
      </c>
      <c r="H31" s="1">
        <v>40</v>
      </c>
      <c r="I31" s="3">
        <v>23</v>
      </c>
      <c r="J31" s="1" t="s">
        <v>71</v>
      </c>
      <c r="K31" s="1">
        <v>184</v>
      </c>
    </row>
    <row r="32" spans="1:11">
      <c r="A32" s="2" t="s">
        <v>141</v>
      </c>
      <c r="B32" s="2" t="s">
        <v>20</v>
      </c>
      <c r="C32" s="1" t="s">
        <v>159</v>
      </c>
      <c r="D32" s="1" t="s">
        <v>160</v>
      </c>
      <c r="E32" s="1">
        <v>3911692608</v>
      </c>
      <c r="F32" s="1" t="s">
        <v>161</v>
      </c>
      <c r="G32" s="4" t="s">
        <v>162</v>
      </c>
      <c r="H32" s="1">
        <v>40</v>
      </c>
      <c r="I32" s="3">
        <v>22</v>
      </c>
      <c r="J32" s="1" t="s">
        <v>71</v>
      </c>
      <c r="K32" s="1">
        <v>176</v>
      </c>
    </row>
    <row r="33" spans="1:11">
      <c r="A33" s="2" t="s">
        <v>141</v>
      </c>
      <c r="B33" s="2" t="s">
        <v>20</v>
      </c>
      <c r="C33" s="1" t="s">
        <v>163</v>
      </c>
      <c r="D33" s="1" t="s">
        <v>164</v>
      </c>
      <c r="E33" s="1">
        <v>2247934360</v>
      </c>
      <c r="F33" s="1">
        <v>17377959115</v>
      </c>
      <c r="G33" s="1" t="s">
        <v>165</v>
      </c>
      <c r="H33" s="1">
        <v>40</v>
      </c>
      <c r="I33" s="1">
        <v>26</v>
      </c>
      <c r="J33" s="1" t="s">
        <v>71</v>
      </c>
      <c r="K33" s="1">
        <v>208</v>
      </c>
    </row>
    <row r="34" spans="1:11">
      <c r="A34" s="2" t="s">
        <v>141</v>
      </c>
      <c r="B34" s="2" t="s">
        <v>20</v>
      </c>
      <c r="C34" s="1" t="s">
        <v>167</v>
      </c>
      <c r="D34" s="1" t="s">
        <v>168</v>
      </c>
      <c r="E34" s="1">
        <v>909927320</v>
      </c>
      <c r="F34" s="1">
        <v>13319562869</v>
      </c>
      <c r="G34" s="1" t="s">
        <v>169</v>
      </c>
      <c r="H34" s="1">
        <v>40</v>
      </c>
      <c r="I34" s="1">
        <v>31</v>
      </c>
      <c r="J34" s="1" t="s">
        <v>71</v>
      </c>
      <c r="K34" s="1">
        <v>248</v>
      </c>
    </row>
    <row r="35" spans="1:11">
      <c r="A35" s="2" t="s">
        <v>174</v>
      </c>
      <c r="B35" s="1" t="s">
        <v>175</v>
      </c>
      <c r="C35" s="1" t="s">
        <v>176</v>
      </c>
      <c r="D35" s="1" t="s">
        <v>177</v>
      </c>
      <c r="E35" s="1">
        <v>1836533605</v>
      </c>
      <c r="F35" s="1">
        <v>15523238030</v>
      </c>
      <c r="G35" s="1" t="s">
        <v>178</v>
      </c>
      <c r="H35" s="1">
        <v>36</v>
      </c>
      <c r="I35" s="1">
        <v>18</v>
      </c>
      <c r="J35" s="1" t="s">
        <v>71</v>
      </c>
      <c r="K35" s="1">
        <v>144</v>
      </c>
    </row>
    <row r="36" spans="1:11">
      <c r="A36" s="2" t="s">
        <v>174</v>
      </c>
      <c r="B36" s="2" t="s">
        <v>12</v>
      </c>
      <c r="C36" s="1" t="s">
        <v>182</v>
      </c>
      <c r="D36" s="1" t="s">
        <v>183</v>
      </c>
      <c r="E36" s="1">
        <v>1781997931</v>
      </c>
      <c r="F36" s="1">
        <v>15273283620</v>
      </c>
      <c r="G36" s="1" t="s">
        <v>184</v>
      </c>
      <c r="H36" s="1">
        <v>30</v>
      </c>
      <c r="I36" s="1">
        <v>18</v>
      </c>
      <c r="J36" s="1" t="s">
        <v>71</v>
      </c>
      <c r="K36" s="1">
        <v>144</v>
      </c>
    </row>
    <row r="37" spans="1:11">
      <c r="A37" s="2" t="s">
        <v>174</v>
      </c>
      <c r="B37" s="2" t="s">
        <v>20</v>
      </c>
      <c r="C37" s="1" t="s">
        <v>185</v>
      </c>
      <c r="D37" s="1" t="s">
        <v>186</v>
      </c>
      <c r="E37" s="1">
        <v>177191828</v>
      </c>
      <c r="F37" s="1">
        <v>13367487585</v>
      </c>
      <c r="G37" s="1" t="s">
        <v>187</v>
      </c>
      <c r="H37" s="1">
        <v>36</v>
      </c>
      <c r="I37" s="3">
        <v>36</v>
      </c>
      <c r="J37" s="1" t="s">
        <v>71</v>
      </c>
      <c r="K37" s="1">
        <v>288</v>
      </c>
    </row>
    <row r="38" spans="1:11">
      <c r="A38" s="2" t="s">
        <v>174</v>
      </c>
      <c r="B38" s="2" t="s">
        <v>20</v>
      </c>
      <c r="C38" s="1" t="s">
        <v>189</v>
      </c>
      <c r="D38" s="1" t="s">
        <v>190</v>
      </c>
      <c r="E38" s="1">
        <v>1135047439</v>
      </c>
      <c r="F38" s="1">
        <v>18174610648</v>
      </c>
      <c r="G38" s="1" t="s">
        <v>191</v>
      </c>
      <c r="H38" s="1">
        <v>36</v>
      </c>
      <c r="I38" s="3">
        <v>30</v>
      </c>
      <c r="J38" s="1" t="s">
        <v>71</v>
      </c>
      <c r="K38" s="1">
        <v>240</v>
      </c>
    </row>
    <row r="39" spans="1:11">
      <c r="A39" s="2" t="s">
        <v>174</v>
      </c>
      <c r="B39" s="2" t="s">
        <v>20</v>
      </c>
      <c r="C39" s="1" t="s">
        <v>192</v>
      </c>
      <c r="D39" s="1" t="s">
        <v>193</v>
      </c>
      <c r="E39" s="1">
        <v>3460107356</v>
      </c>
      <c r="F39" s="1">
        <v>19896370338</v>
      </c>
      <c r="G39" s="1" t="s">
        <v>40</v>
      </c>
      <c r="H39" s="1">
        <v>36</v>
      </c>
      <c r="I39" s="3">
        <v>36</v>
      </c>
      <c r="J39" s="1" t="s">
        <v>71</v>
      </c>
      <c r="K39" s="1">
        <v>288</v>
      </c>
    </row>
    <row r="40" spans="1:11">
      <c r="A40" s="2" t="s">
        <v>174</v>
      </c>
      <c r="B40" s="2" t="s">
        <v>20</v>
      </c>
      <c r="C40" s="1" t="s">
        <v>194</v>
      </c>
      <c r="D40" s="1" t="s">
        <v>195</v>
      </c>
      <c r="E40" s="1">
        <v>3321604766</v>
      </c>
      <c r="F40" s="1">
        <v>13012162335</v>
      </c>
      <c r="G40" s="1" t="s">
        <v>40</v>
      </c>
      <c r="H40" s="1">
        <v>36</v>
      </c>
      <c r="I40" s="3">
        <v>29</v>
      </c>
      <c r="J40" s="1" t="s">
        <v>71</v>
      </c>
      <c r="K40" s="1">
        <v>232</v>
      </c>
    </row>
    <row r="41" spans="1:11">
      <c r="A41" s="2" t="s">
        <v>174</v>
      </c>
      <c r="B41" s="2" t="s">
        <v>20</v>
      </c>
      <c r="C41" s="1" t="s">
        <v>176</v>
      </c>
      <c r="D41" s="1" t="s">
        <v>196</v>
      </c>
      <c r="E41" s="1">
        <v>3566227305</v>
      </c>
      <c r="F41" s="1">
        <v>15723037458</v>
      </c>
      <c r="G41" s="1" t="s">
        <v>191</v>
      </c>
      <c r="H41" s="1">
        <v>37</v>
      </c>
      <c r="I41" s="3">
        <v>36</v>
      </c>
      <c r="J41" s="1" t="s">
        <v>71</v>
      </c>
      <c r="K41" s="1">
        <v>288</v>
      </c>
    </row>
    <row r="42" spans="1:11">
      <c r="A42" s="2" t="s">
        <v>174</v>
      </c>
      <c r="B42" s="2" t="s">
        <v>20</v>
      </c>
      <c r="C42" s="1" t="s">
        <v>199</v>
      </c>
      <c r="D42" s="1" t="s">
        <v>200</v>
      </c>
      <c r="E42" s="1">
        <v>3922687918</v>
      </c>
      <c r="F42" s="1">
        <v>17680262023</v>
      </c>
      <c r="G42" s="1" t="s">
        <v>191</v>
      </c>
      <c r="H42" s="1">
        <v>37</v>
      </c>
      <c r="I42" s="1">
        <v>35</v>
      </c>
      <c r="J42" s="1" t="s">
        <v>71</v>
      </c>
      <c r="K42" s="1">
        <v>280</v>
      </c>
    </row>
    <row r="43" spans="1:11">
      <c r="A43" s="2" t="s">
        <v>174</v>
      </c>
      <c r="B43" s="2" t="s">
        <v>20</v>
      </c>
      <c r="C43" s="1" t="s">
        <v>206</v>
      </c>
      <c r="D43" s="1" t="s">
        <v>207</v>
      </c>
      <c r="E43" s="1">
        <v>2824515495</v>
      </c>
      <c r="F43" s="1">
        <v>19397825471</v>
      </c>
      <c r="G43" s="1" t="s">
        <v>191</v>
      </c>
      <c r="H43" s="1">
        <v>36</v>
      </c>
      <c r="I43" s="3">
        <v>23</v>
      </c>
      <c r="J43" s="1" t="s">
        <v>71</v>
      </c>
      <c r="K43" s="1">
        <v>184</v>
      </c>
    </row>
    <row r="44" spans="1:11">
      <c r="A44" s="2" t="s">
        <v>208</v>
      </c>
      <c r="B44" s="1" t="s">
        <v>12</v>
      </c>
      <c r="C44" s="1" t="s">
        <v>209</v>
      </c>
      <c r="D44" s="1" t="s">
        <v>210</v>
      </c>
      <c r="E44" s="1">
        <v>2948460056</v>
      </c>
      <c r="F44" s="1">
        <v>13786454420</v>
      </c>
      <c r="G44" s="1" t="s">
        <v>211</v>
      </c>
      <c r="H44" s="1">
        <v>31</v>
      </c>
      <c r="I44" s="3">
        <v>31</v>
      </c>
      <c r="J44" s="1" t="s">
        <v>71</v>
      </c>
      <c r="K44" s="1">
        <v>248</v>
      </c>
    </row>
    <row r="45" spans="1:11">
      <c r="A45" s="2" t="s">
        <v>218</v>
      </c>
      <c r="B45" s="2" t="s">
        <v>107</v>
      </c>
      <c r="C45" s="1" t="s">
        <v>219</v>
      </c>
      <c r="D45" s="1" t="s">
        <v>220</v>
      </c>
      <c r="E45" s="1">
        <v>3426059244</v>
      </c>
      <c r="F45" s="1">
        <v>16670801837</v>
      </c>
      <c r="G45" s="1" t="s">
        <v>221</v>
      </c>
      <c r="H45" s="1">
        <v>30</v>
      </c>
      <c r="I45" s="3">
        <v>30</v>
      </c>
      <c r="J45" s="1" t="s">
        <v>71</v>
      </c>
      <c r="K45" s="1">
        <v>240</v>
      </c>
    </row>
    <row r="46" spans="1:11">
      <c r="A46" s="2" t="s">
        <v>218</v>
      </c>
      <c r="B46" s="2" t="s">
        <v>107</v>
      </c>
      <c r="C46" s="1" t="s">
        <v>223</v>
      </c>
      <c r="D46" s="1" t="s">
        <v>224</v>
      </c>
      <c r="E46" s="1">
        <v>2452406105</v>
      </c>
      <c r="F46" s="1">
        <v>19187713937</v>
      </c>
      <c r="G46" s="1" t="s">
        <v>225</v>
      </c>
      <c r="H46" s="1">
        <v>38</v>
      </c>
      <c r="I46" s="1">
        <v>26</v>
      </c>
      <c r="J46" s="1" t="s">
        <v>71</v>
      </c>
      <c r="K46" s="1">
        <v>208</v>
      </c>
    </row>
    <row r="47" spans="1:11">
      <c r="A47" s="2" t="s">
        <v>218</v>
      </c>
      <c r="B47" s="2" t="s">
        <v>12</v>
      </c>
      <c r="C47" s="1" t="s">
        <v>235</v>
      </c>
      <c r="D47" s="1" t="s">
        <v>236</v>
      </c>
      <c r="E47" s="1">
        <v>213038441</v>
      </c>
      <c r="F47" s="1">
        <v>19083200985</v>
      </c>
      <c r="G47" s="1" t="s">
        <v>237</v>
      </c>
      <c r="H47" s="1">
        <v>46</v>
      </c>
      <c r="I47" s="1">
        <v>23</v>
      </c>
      <c r="J47" s="1" t="s">
        <v>71</v>
      </c>
      <c r="K47" s="1">
        <v>184</v>
      </c>
    </row>
    <row r="48" spans="1:11">
      <c r="A48" s="2" t="s">
        <v>218</v>
      </c>
      <c r="B48" s="2" t="s">
        <v>20</v>
      </c>
      <c r="C48" s="1" t="s">
        <v>238</v>
      </c>
      <c r="D48" s="1" t="s">
        <v>239</v>
      </c>
      <c r="E48" s="1">
        <v>1096323849</v>
      </c>
      <c r="F48" s="1">
        <v>17891077235</v>
      </c>
      <c r="G48" s="1" t="s">
        <v>240</v>
      </c>
      <c r="H48" s="1">
        <v>40</v>
      </c>
      <c r="I48" s="1">
        <v>32</v>
      </c>
      <c r="J48" s="1" t="s">
        <v>71</v>
      </c>
      <c r="K48" s="1">
        <v>256</v>
      </c>
    </row>
    <row r="49" spans="1:11">
      <c r="A49" s="2" t="s">
        <v>218</v>
      </c>
      <c r="B49" s="2" t="s">
        <v>20</v>
      </c>
      <c r="C49" s="1" t="s">
        <v>241</v>
      </c>
      <c r="D49" s="1" t="s">
        <v>242</v>
      </c>
      <c r="E49" s="1">
        <v>2758656997</v>
      </c>
      <c r="F49" s="1">
        <v>13612095414</v>
      </c>
      <c r="G49" s="1" t="s">
        <v>214</v>
      </c>
      <c r="H49" s="1">
        <v>41</v>
      </c>
      <c r="I49" s="1">
        <v>32</v>
      </c>
      <c r="J49" s="1" t="s">
        <v>71</v>
      </c>
      <c r="K49" s="1">
        <v>256</v>
      </c>
    </row>
    <row r="50" spans="1:11">
      <c r="A50" s="2" t="s">
        <v>243</v>
      </c>
      <c r="B50" s="2" t="s">
        <v>107</v>
      </c>
      <c r="C50" s="1" t="s">
        <v>244</v>
      </c>
      <c r="D50" s="1" t="s">
        <v>245</v>
      </c>
      <c r="E50" s="1">
        <v>2744650425</v>
      </c>
      <c r="F50" s="1">
        <v>18674840795</v>
      </c>
      <c r="G50" s="1" t="s">
        <v>246</v>
      </c>
      <c r="H50" s="1">
        <v>35</v>
      </c>
      <c r="I50" s="1">
        <v>19</v>
      </c>
      <c r="J50" s="1" t="s">
        <v>71</v>
      </c>
      <c r="K50" s="1">
        <v>152</v>
      </c>
    </row>
    <row r="51" spans="1:11">
      <c r="A51" s="2" t="s">
        <v>243</v>
      </c>
      <c r="B51" s="2" t="s">
        <v>107</v>
      </c>
      <c r="C51" s="1" t="s">
        <v>247</v>
      </c>
      <c r="D51" s="1" t="s">
        <v>248</v>
      </c>
      <c r="E51" s="1">
        <v>799320941</v>
      </c>
      <c r="F51" s="1">
        <v>17331124329</v>
      </c>
      <c r="G51" s="1" t="s">
        <v>249</v>
      </c>
      <c r="H51" s="1">
        <v>37</v>
      </c>
      <c r="I51" s="1">
        <v>37</v>
      </c>
      <c r="J51" s="1" t="s">
        <v>71</v>
      </c>
      <c r="K51" s="1">
        <v>296</v>
      </c>
    </row>
    <row r="52" spans="1:11">
      <c r="A52" s="2" t="s">
        <v>243</v>
      </c>
      <c r="B52" s="2" t="s">
        <v>12</v>
      </c>
      <c r="C52" s="1" t="s">
        <v>250</v>
      </c>
      <c r="D52" s="1" t="s">
        <v>251</v>
      </c>
      <c r="E52" s="1">
        <v>2672636978</v>
      </c>
      <c r="F52" s="1">
        <v>13243667806</v>
      </c>
      <c r="G52" s="1" t="s">
        <v>252</v>
      </c>
      <c r="H52" s="1">
        <v>42</v>
      </c>
      <c r="I52" s="1">
        <v>21</v>
      </c>
      <c r="J52" s="1" t="s">
        <v>71</v>
      </c>
      <c r="K52" s="1">
        <v>168</v>
      </c>
    </row>
    <row r="53" spans="1:11">
      <c r="A53" s="2" t="s">
        <v>243</v>
      </c>
      <c r="B53" s="2" t="s">
        <v>12</v>
      </c>
      <c r="C53" s="1" t="s">
        <v>253</v>
      </c>
      <c r="D53" s="1" t="s">
        <v>254</v>
      </c>
      <c r="E53" s="1">
        <v>2127180295</v>
      </c>
      <c r="F53" s="1">
        <v>18692619102</v>
      </c>
      <c r="G53" s="1" t="s">
        <v>231</v>
      </c>
      <c r="H53" s="1">
        <v>39</v>
      </c>
      <c r="I53" s="1">
        <v>39</v>
      </c>
      <c r="J53" s="1" t="s">
        <v>71</v>
      </c>
      <c r="K53" s="1">
        <v>312</v>
      </c>
    </row>
    <row r="54" spans="1:11">
      <c r="A54" s="2" t="s">
        <v>243</v>
      </c>
      <c r="B54" s="2" t="s">
        <v>12</v>
      </c>
      <c r="C54" s="1" t="s">
        <v>255</v>
      </c>
      <c r="D54" s="1" t="s">
        <v>256</v>
      </c>
      <c r="E54" s="1">
        <v>3152526408</v>
      </c>
      <c r="F54" s="1">
        <v>13468527044</v>
      </c>
      <c r="G54" s="1" t="s">
        <v>257</v>
      </c>
      <c r="H54" s="1">
        <v>40</v>
      </c>
      <c r="I54" s="1">
        <v>23</v>
      </c>
      <c r="J54" s="1" t="s">
        <v>71</v>
      </c>
      <c r="K54" s="1">
        <v>184</v>
      </c>
    </row>
    <row r="55" spans="1:11">
      <c r="A55" s="2" t="s">
        <v>243</v>
      </c>
      <c r="B55" s="2" t="s">
        <v>12</v>
      </c>
      <c r="C55" s="1" t="s">
        <v>258</v>
      </c>
      <c r="D55" s="1" t="s">
        <v>259</v>
      </c>
      <c r="E55" s="1">
        <v>3030005482</v>
      </c>
      <c r="F55" s="1">
        <v>16630823058</v>
      </c>
      <c r="G55" s="1" t="s">
        <v>260</v>
      </c>
      <c r="H55" s="1">
        <v>39</v>
      </c>
      <c r="I55" s="1">
        <v>31</v>
      </c>
      <c r="J55" s="1" t="s">
        <v>71</v>
      </c>
      <c r="K55" s="1">
        <v>248</v>
      </c>
    </row>
    <row r="56" spans="1:11">
      <c r="A56" s="2" t="s">
        <v>243</v>
      </c>
      <c r="B56" s="2" t="s">
        <v>12</v>
      </c>
      <c r="C56" s="1" t="s">
        <v>261</v>
      </c>
      <c r="D56" s="1" t="s">
        <v>262</v>
      </c>
      <c r="E56" s="1">
        <v>1580622756</v>
      </c>
      <c r="F56" s="1">
        <v>16681590426</v>
      </c>
      <c r="G56" s="1" t="s">
        <v>263</v>
      </c>
      <c r="H56" s="1">
        <v>40</v>
      </c>
      <c r="I56" s="1">
        <v>40</v>
      </c>
      <c r="J56" s="1" t="s">
        <v>71</v>
      </c>
      <c r="K56" s="1">
        <v>320</v>
      </c>
    </row>
    <row r="57" spans="1:11">
      <c r="A57" s="2" t="s">
        <v>243</v>
      </c>
      <c r="B57" s="2" t="s">
        <v>12</v>
      </c>
      <c r="C57" s="1" t="s">
        <v>264</v>
      </c>
      <c r="D57" s="1" t="s">
        <v>76</v>
      </c>
      <c r="E57" s="1">
        <v>1593386642</v>
      </c>
      <c r="F57" s="1">
        <v>16682582595</v>
      </c>
      <c r="G57" s="1" t="s">
        <v>265</v>
      </c>
      <c r="H57" s="1">
        <v>39</v>
      </c>
      <c r="I57" s="1">
        <v>29</v>
      </c>
      <c r="J57" s="1" t="s">
        <v>71</v>
      </c>
      <c r="K57" s="1">
        <v>232</v>
      </c>
    </row>
    <row r="58" spans="1:11">
      <c r="A58" s="2" t="s">
        <v>243</v>
      </c>
      <c r="B58" s="2" t="s">
        <v>20</v>
      </c>
      <c r="C58" s="1" t="s">
        <v>250</v>
      </c>
      <c r="D58" s="1" t="s">
        <v>266</v>
      </c>
      <c r="E58" s="1">
        <v>1987724589</v>
      </c>
      <c r="F58" s="1">
        <v>19021667380</v>
      </c>
      <c r="G58" s="1" t="s">
        <v>267</v>
      </c>
      <c r="H58" s="1">
        <v>38</v>
      </c>
      <c r="I58" s="3">
        <v>38</v>
      </c>
      <c r="J58" s="1" t="s">
        <v>71</v>
      </c>
      <c r="K58" s="1">
        <v>304</v>
      </c>
    </row>
    <row r="59" spans="1:11">
      <c r="A59" s="2" t="s">
        <v>243</v>
      </c>
      <c r="B59" s="2" t="s">
        <v>20</v>
      </c>
      <c r="C59" s="1" t="s">
        <v>244</v>
      </c>
      <c r="D59" s="1" t="s">
        <v>269</v>
      </c>
      <c r="E59" s="1">
        <v>2749900411</v>
      </c>
      <c r="F59" s="1">
        <v>17267341055</v>
      </c>
      <c r="G59" s="1" t="s">
        <v>270</v>
      </c>
      <c r="H59" s="1">
        <v>37</v>
      </c>
      <c r="I59" s="3">
        <v>37</v>
      </c>
      <c r="J59" s="1" t="s">
        <v>71</v>
      </c>
      <c r="K59" s="1">
        <v>296</v>
      </c>
    </row>
    <row r="60" spans="1:11">
      <c r="A60" s="2" t="s">
        <v>243</v>
      </c>
      <c r="B60" s="2" t="s">
        <v>20</v>
      </c>
      <c r="C60" s="1" t="s">
        <v>247</v>
      </c>
      <c r="D60" s="1" t="s">
        <v>271</v>
      </c>
      <c r="E60" s="1">
        <v>3804936901</v>
      </c>
      <c r="F60" s="1">
        <v>18867386796</v>
      </c>
      <c r="G60" s="1" t="s">
        <v>26</v>
      </c>
      <c r="H60" s="1">
        <v>36</v>
      </c>
      <c r="I60" s="3">
        <v>36</v>
      </c>
      <c r="J60" s="1" t="s">
        <v>71</v>
      </c>
      <c r="K60" s="1">
        <v>288</v>
      </c>
    </row>
    <row r="61" spans="1:11">
      <c r="A61" s="2" t="s">
        <v>243</v>
      </c>
      <c r="B61" s="2" t="s">
        <v>20</v>
      </c>
      <c r="C61" s="1" t="s">
        <v>272</v>
      </c>
      <c r="D61" s="1" t="s">
        <v>273</v>
      </c>
      <c r="E61" s="1">
        <v>2783154807</v>
      </c>
      <c r="F61" s="1"/>
      <c r="G61" s="1" t="s">
        <v>274</v>
      </c>
      <c r="H61" s="1">
        <v>37</v>
      </c>
      <c r="I61" s="3">
        <v>29</v>
      </c>
      <c r="J61" s="1" t="s">
        <v>71</v>
      </c>
      <c r="K61" s="1">
        <v>232</v>
      </c>
    </row>
    <row r="62" spans="1:11">
      <c r="A62" s="2" t="s">
        <v>243</v>
      </c>
      <c r="B62" s="2" t="s">
        <v>20</v>
      </c>
      <c r="C62" s="1" t="s">
        <v>255</v>
      </c>
      <c r="D62" s="1" t="s">
        <v>275</v>
      </c>
      <c r="E62" s="1">
        <v>957508604</v>
      </c>
      <c r="F62" s="1">
        <v>18029424867</v>
      </c>
      <c r="G62" s="1" t="s">
        <v>276</v>
      </c>
      <c r="H62" s="1">
        <v>36</v>
      </c>
      <c r="I62" s="3">
        <v>35</v>
      </c>
      <c r="J62" s="1" t="s">
        <v>71</v>
      </c>
      <c r="K62" s="1">
        <v>280</v>
      </c>
    </row>
    <row r="63" spans="1:11">
      <c r="A63" s="2" t="s">
        <v>243</v>
      </c>
      <c r="B63" s="2" t="s">
        <v>20</v>
      </c>
      <c r="C63" s="1" t="s">
        <v>277</v>
      </c>
      <c r="D63" s="1" t="s">
        <v>278</v>
      </c>
      <c r="E63" s="1">
        <v>3434626179</v>
      </c>
      <c r="F63" s="1">
        <v>19379618492</v>
      </c>
      <c r="G63" s="1" t="s">
        <v>279</v>
      </c>
      <c r="H63" s="1">
        <v>36</v>
      </c>
      <c r="I63" s="3">
        <v>36</v>
      </c>
      <c r="J63" s="1" t="s">
        <v>71</v>
      </c>
      <c r="K63" s="1">
        <v>288</v>
      </c>
    </row>
    <row r="64" spans="1:11">
      <c r="A64" s="2" t="s">
        <v>243</v>
      </c>
      <c r="B64" s="2" t="s">
        <v>20</v>
      </c>
      <c r="C64" s="1" t="s">
        <v>258</v>
      </c>
      <c r="D64" s="1" t="s">
        <v>280</v>
      </c>
      <c r="E64" s="1">
        <v>1622192088</v>
      </c>
      <c r="F64" s="1">
        <v>19173948935</v>
      </c>
      <c r="G64" s="1" t="s">
        <v>281</v>
      </c>
      <c r="H64" s="1">
        <v>36</v>
      </c>
      <c r="I64" s="3">
        <v>28</v>
      </c>
      <c r="J64" s="1" t="s">
        <v>71</v>
      </c>
      <c r="K64" s="1">
        <v>224</v>
      </c>
    </row>
    <row r="65" spans="1:11">
      <c r="A65" s="2" t="s">
        <v>243</v>
      </c>
      <c r="B65" s="2" t="s">
        <v>20</v>
      </c>
      <c r="C65" s="1" t="s">
        <v>282</v>
      </c>
      <c r="D65" s="1" t="s">
        <v>283</v>
      </c>
      <c r="E65" s="1">
        <v>3135939406</v>
      </c>
      <c r="F65" s="1">
        <v>15973801878</v>
      </c>
      <c r="G65" s="1" t="s">
        <v>284</v>
      </c>
      <c r="H65" s="1">
        <v>35</v>
      </c>
      <c r="I65" s="3">
        <v>29</v>
      </c>
      <c r="J65" s="1" t="s">
        <v>71</v>
      </c>
      <c r="K65" s="1">
        <v>232</v>
      </c>
    </row>
    <row r="66" spans="1:11">
      <c r="A66" s="2" t="s">
        <v>243</v>
      </c>
      <c r="B66" s="2" t="s">
        <v>20</v>
      </c>
      <c r="C66" s="1" t="s">
        <v>261</v>
      </c>
      <c r="D66" s="1" t="s">
        <v>285</v>
      </c>
      <c r="E66" s="1">
        <v>2030541968</v>
      </c>
      <c r="F66" s="1">
        <v>18273849695</v>
      </c>
      <c r="G66" s="1" t="s">
        <v>286</v>
      </c>
      <c r="H66" s="1">
        <v>37</v>
      </c>
      <c r="I66" s="3">
        <v>37</v>
      </c>
      <c r="J66" s="1" t="s">
        <v>71</v>
      </c>
      <c r="K66" s="1">
        <v>296</v>
      </c>
    </row>
    <row r="67" spans="1:11">
      <c r="A67" s="2" t="s">
        <v>243</v>
      </c>
      <c r="B67" s="2" t="s">
        <v>20</v>
      </c>
      <c r="C67" s="1" t="s">
        <v>287</v>
      </c>
      <c r="D67" s="1" t="s">
        <v>288</v>
      </c>
      <c r="E67" s="1">
        <v>3279619782</v>
      </c>
      <c r="F67" s="1">
        <v>13138190430</v>
      </c>
      <c r="G67" s="1" t="s">
        <v>274</v>
      </c>
      <c r="H67" s="1">
        <v>37</v>
      </c>
      <c r="I67" s="3">
        <v>30</v>
      </c>
      <c r="J67" s="1" t="s">
        <v>71</v>
      </c>
      <c r="K67" s="1">
        <v>240</v>
      </c>
    </row>
    <row r="68" spans="1:11">
      <c r="A68" s="2" t="s">
        <v>243</v>
      </c>
      <c r="B68" s="2" t="s">
        <v>20</v>
      </c>
      <c r="C68" s="1" t="s">
        <v>264</v>
      </c>
      <c r="D68" s="1" t="s">
        <v>289</v>
      </c>
      <c r="E68" s="1">
        <v>1077463238</v>
      </c>
      <c r="F68" s="1">
        <v>19974780561</v>
      </c>
      <c r="G68" s="1" t="s">
        <v>290</v>
      </c>
      <c r="H68" s="1">
        <v>34</v>
      </c>
      <c r="I68" s="1">
        <v>30</v>
      </c>
      <c r="J68" s="1" t="s">
        <v>71</v>
      </c>
      <c r="K68" s="1">
        <v>240</v>
      </c>
    </row>
    <row r="69" spans="1:11">
      <c r="A69" s="2" t="s">
        <v>243</v>
      </c>
      <c r="B69" s="2" t="s">
        <v>20</v>
      </c>
      <c r="C69" s="1" t="s">
        <v>291</v>
      </c>
      <c r="D69" s="1" t="s">
        <v>292</v>
      </c>
      <c r="E69" s="1">
        <v>3586283939</v>
      </c>
      <c r="F69" s="1">
        <v>18829141411</v>
      </c>
      <c r="G69" s="1" t="s">
        <v>276</v>
      </c>
      <c r="H69" s="1">
        <v>36</v>
      </c>
      <c r="I69" s="3">
        <v>27</v>
      </c>
      <c r="J69" s="1" t="s">
        <v>71</v>
      </c>
      <c r="K69" s="1">
        <v>216</v>
      </c>
    </row>
    <row r="70" spans="1:11">
      <c r="A70" s="2" t="s">
        <v>243</v>
      </c>
      <c r="B70" s="2" t="s">
        <v>20</v>
      </c>
      <c r="C70" s="1" t="s">
        <v>293</v>
      </c>
      <c r="D70" s="1" t="s">
        <v>294</v>
      </c>
      <c r="E70" s="1">
        <v>3326223141</v>
      </c>
      <c r="F70" s="1">
        <v>15200932291</v>
      </c>
      <c r="G70" s="1" t="s">
        <v>295</v>
      </c>
      <c r="H70" s="1">
        <v>35</v>
      </c>
      <c r="I70" s="3">
        <v>35</v>
      </c>
      <c r="J70" s="1" t="s">
        <v>71</v>
      </c>
      <c r="K70" s="1">
        <v>280</v>
      </c>
    </row>
    <row r="71" spans="1:11">
      <c r="A71" s="2" t="s">
        <v>296</v>
      </c>
      <c r="B71" s="2" t="s">
        <v>12</v>
      </c>
      <c r="C71" s="1" t="s">
        <v>297</v>
      </c>
      <c r="D71" s="1" t="s">
        <v>298</v>
      </c>
      <c r="E71" s="1">
        <v>3446613439</v>
      </c>
      <c r="F71" s="1">
        <v>18386712602</v>
      </c>
      <c r="G71" s="1" t="s">
        <v>299</v>
      </c>
      <c r="H71" s="1">
        <v>52</v>
      </c>
      <c r="I71" s="3">
        <v>46</v>
      </c>
      <c r="J71" s="1" t="s">
        <v>71</v>
      </c>
      <c r="K71" s="1">
        <v>368</v>
      </c>
    </row>
    <row r="72" spans="1:11">
      <c r="A72" s="2" t="s">
        <v>296</v>
      </c>
      <c r="B72" s="2" t="s">
        <v>12</v>
      </c>
      <c r="C72" s="1" t="s">
        <v>303</v>
      </c>
      <c r="D72" s="4" t="s">
        <v>304</v>
      </c>
      <c r="E72" s="1">
        <v>2970916216</v>
      </c>
      <c r="F72" s="1">
        <v>19957406136</v>
      </c>
      <c r="G72" s="1" t="s">
        <v>305</v>
      </c>
      <c r="H72" s="1">
        <v>46</v>
      </c>
      <c r="I72" s="3">
        <v>46</v>
      </c>
      <c r="J72" s="1" t="s">
        <v>71</v>
      </c>
      <c r="K72" s="1">
        <v>368</v>
      </c>
    </row>
    <row r="73" spans="1:11">
      <c r="A73" s="2" t="s">
        <v>306</v>
      </c>
      <c r="B73" s="2" t="s">
        <v>12</v>
      </c>
      <c r="C73" s="1" t="s">
        <v>316</v>
      </c>
      <c r="D73" s="1" t="s">
        <v>317</v>
      </c>
      <c r="E73" s="1">
        <v>3147803439</v>
      </c>
      <c r="F73" s="1">
        <v>17375155255</v>
      </c>
      <c r="G73" s="1" t="s">
        <v>318</v>
      </c>
      <c r="H73" s="1">
        <v>25</v>
      </c>
      <c r="I73" s="1">
        <v>23</v>
      </c>
      <c r="J73" s="1" t="s">
        <v>71</v>
      </c>
      <c r="K73" s="1">
        <v>184</v>
      </c>
    </row>
    <row r="74" spans="1:11">
      <c r="A74" s="2" t="s">
        <v>306</v>
      </c>
      <c r="B74" s="2" t="s">
        <v>20</v>
      </c>
      <c r="C74" s="1" t="s">
        <v>310</v>
      </c>
      <c r="D74" s="1" t="s">
        <v>319</v>
      </c>
      <c r="E74" s="1">
        <v>1640603312</v>
      </c>
      <c r="F74" s="1">
        <v>19175246027</v>
      </c>
      <c r="G74" s="1" t="s">
        <v>320</v>
      </c>
      <c r="H74" s="1">
        <v>34</v>
      </c>
      <c r="I74" s="3">
        <v>31</v>
      </c>
      <c r="J74" s="1" t="s">
        <v>71</v>
      </c>
      <c r="K74" s="1">
        <v>248</v>
      </c>
    </row>
    <row r="75" spans="1:11">
      <c r="A75" s="2" t="s">
        <v>306</v>
      </c>
      <c r="B75" s="2" t="s">
        <v>20</v>
      </c>
      <c r="C75" s="1" t="s">
        <v>321</v>
      </c>
      <c r="D75" s="1" t="s">
        <v>322</v>
      </c>
      <c r="E75" s="1">
        <v>3637451931</v>
      </c>
      <c r="F75" s="1">
        <v>18873205759</v>
      </c>
      <c r="G75" s="1" t="s">
        <v>323</v>
      </c>
      <c r="H75" s="1">
        <v>39</v>
      </c>
      <c r="I75" s="1">
        <v>29</v>
      </c>
      <c r="J75" s="1" t="s">
        <v>71</v>
      </c>
      <c r="K75" s="1">
        <v>232</v>
      </c>
    </row>
    <row r="76" spans="1:11">
      <c r="A76" s="2" t="s">
        <v>306</v>
      </c>
      <c r="B76" s="2" t="s">
        <v>20</v>
      </c>
      <c r="C76" s="1" t="s">
        <v>327</v>
      </c>
      <c r="D76" s="4" t="s">
        <v>328</v>
      </c>
      <c r="E76" s="1">
        <v>2657916297</v>
      </c>
      <c r="F76" s="1"/>
      <c r="G76" s="1"/>
      <c r="H76" s="1">
        <v>40</v>
      </c>
      <c r="I76" s="3">
        <v>33</v>
      </c>
      <c r="J76" s="1" t="s">
        <v>71</v>
      </c>
      <c r="K76" s="1">
        <v>264</v>
      </c>
    </row>
    <row r="77" spans="1:11">
      <c r="A77" s="2" t="s">
        <v>329</v>
      </c>
      <c r="B77" s="1" t="s">
        <v>107</v>
      </c>
      <c r="C77" s="1" t="s">
        <v>333</v>
      </c>
      <c r="D77" s="1" t="s">
        <v>334</v>
      </c>
      <c r="E77" s="1">
        <v>2786118769</v>
      </c>
      <c r="F77" s="1">
        <v>19848132695</v>
      </c>
      <c r="G77" s="1" t="s">
        <v>335</v>
      </c>
      <c r="H77" s="1">
        <v>25</v>
      </c>
      <c r="I77" s="1">
        <v>14</v>
      </c>
      <c r="J77" s="1" t="s">
        <v>71</v>
      </c>
      <c r="K77" s="1">
        <v>112</v>
      </c>
    </row>
    <row r="78" spans="1:11">
      <c r="A78" s="2" t="s">
        <v>329</v>
      </c>
      <c r="B78" s="1" t="s">
        <v>20</v>
      </c>
      <c r="C78" s="1" t="s">
        <v>336</v>
      </c>
      <c r="D78" s="1" t="s">
        <v>337</v>
      </c>
      <c r="E78" s="1">
        <v>2545043778</v>
      </c>
      <c r="F78" s="1">
        <v>17872536116</v>
      </c>
      <c r="G78" s="1" t="s">
        <v>338</v>
      </c>
      <c r="H78" s="1">
        <v>32</v>
      </c>
      <c r="I78" s="1">
        <v>23</v>
      </c>
      <c r="J78" s="1" t="s">
        <v>71</v>
      </c>
      <c r="K78" s="1">
        <v>184</v>
      </c>
    </row>
    <row r="79" spans="1:11">
      <c r="A79" s="2" t="s">
        <v>339</v>
      </c>
      <c r="B79" s="1" t="s">
        <v>107</v>
      </c>
      <c r="C79" s="1" t="s">
        <v>340</v>
      </c>
      <c r="D79" s="1" t="s">
        <v>341</v>
      </c>
      <c r="E79" s="1">
        <v>1590366374</v>
      </c>
      <c r="F79" s="1">
        <v>19339150960</v>
      </c>
      <c r="G79" s="1" t="s">
        <v>342</v>
      </c>
      <c r="H79" s="1">
        <v>27</v>
      </c>
      <c r="I79" s="1">
        <v>15</v>
      </c>
      <c r="J79" s="1" t="s">
        <v>71</v>
      </c>
      <c r="K79" s="1">
        <v>120</v>
      </c>
    </row>
    <row r="80" spans="1:11">
      <c r="A80" s="2" t="s">
        <v>339</v>
      </c>
      <c r="B80" s="2" t="s">
        <v>20</v>
      </c>
      <c r="C80" s="1" t="s">
        <v>343</v>
      </c>
      <c r="D80" s="1" t="s">
        <v>344</v>
      </c>
      <c r="E80" s="1">
        <v>3421859632</v>
      </c>
      <c r="F80" s="1">
        <v>18563222094</v>
      </c>
      <c r="G80" s="1" t="s">
        <v>345</v>
      </c>
      <c r="H80" s="1">
        <v>40</v>
      </c>
      <c r="I80" s="1">
        <v>39</v>
      </c>
      <c r="J80" s="1" t="s">
        <v>71</v>
      </c>
      <c r="K80" s="1">
        <v>312</v>
      </c>
    </row>
    <row r="81" spans="1:11">
      <c r="A81" s="2" t="s">
        <v>339</v>
      </c>
      <c r="B81" s="2" t="s">
        <v>20</v>
      </c>
      <c r="C81" s="1" t="s">
        <v>350</v>
      </c>
      <c r="D81" s="1" t="s">
        <v>351</v>
      </c>
      <c r="E81" s="1">
        <v>2760434750</v>
      </c>
      <c r="F81" s="1">
        <v>18154065602</v>
      </c>
      <c r="G81" s="1" t="s">
        <v>352</v>
      </c>
      <c r="H81" s="1">
        <v>37</v>
      </c>
      <c r="I81" s="1">
        <v>19</v>
      </c>
      <c r="J81" s="1" t="s">
        <v>71</v>
      </c>
      <c r="K81" s="1">
        <v>152</v>
      </c>
    </row>
    <row r="82" spans="1:11">
      <c r="A82" s="2" t="s">
        <v>353</v>
      </c>
      <c r="B82" s="2" t="s">
        <v>12</v>
      </c>
      <c r="C82" s="1" t="s">
        <v>354</v>
      </c>
      <c r="D82" s="1" t="s">
        <v>355</v>
      </c>
      <c r="E82" s="1">
        <v>1536916946</v>
      </c>
      <c r="F82" s="1">
        <v>17680329792</v>
      </c>
      <c r="G82" s="1" t="s">
        <v>356</v>
      </c>
      <c r="H82" s="3">
        <v>24</v>
      </c>
      <c r="I82" s="3">
        <v>21</v>
      </c>
      <c r="J82" s="1" t="s">
        <v>71</v>
      </c>
      <c r="K82" s="1">
        <v>168</v>
      </c>
    </row>
    <row r="83" spans="1:11">
      <c r="A83" s="2" t="s">
        <v>353</v>
      </c>
      <c r="B83" s="2" t="s">
        <v>12</v>
      </c>
      <c r="C83" s="1" t="s">
        <v>357</v>
      </c>
      <c r="D83" s="1" t="s">
        <v>358</v>
      </c>
      <c r="E83" s="1">
        <v>264500297</v>
      </c>
      <c r="F83" s="1">
        <v>13290617689</v>
      </c>
      <c r="G83" s="1" t="s">
        <v>359</v>
      </c>
      <c r="H83" s="1">
        <v>29</v>
      </c>
      <c r="I83" s="1">
        <v>21</v>
      </c>
      <c r="J83" s="1" t="s">
        <v>71</v>
      </c>
      <c r="K83" s="1">
        <v>168</v>
      </c>
    </row>
    <row r="84" spans="1:11">
      <c r="A84" s="2" t="s">
        <v>362</v>
      </c>
      <c r="B84" s="2" t="s">
        <v>12</v>
      </c>
      <c r="C84" s="1" t="s">
        <v>369</v>
      </c>
      <c r="D84" s="1" t="s">
        <v>370</v>
      </c>
      <c r="E84" s="1">
        <v>2982162257</v>
      </c>
      <c r="F84" s="1">
        <v>19918553733</v>
      </c>
      <c r="G84" s="1" t="s">
        <v>371</v>
      </c>
      <c r="H84" s="1">
        <v>33</v>
      </c>
      <c r="I84" s="1">
        <v>33</v>
      </c>
      <c r="J84" s="1" t="s">
        <v>71</v>
      </c>
      <c r="K84" s="1">
        <v>264</v>
      </c>
    </row>
    <row r="85" spans="1:11">
      <c r="A85" s="2" t="s">
        <v>362</v>
      </c>
      <c r="B85" s="2" t="s">
        <v>12</v>
      </c>
      <c r="C85" s="1" t="s">
        <v>372</v>
      </c>
      <c r="D85" s="1" t="s">
        <v>373</v>
      </c>
      <c r="E85" s="1">
        <v>1022803230</v>
      </c>
      <c r="F85" s="1">
        <v>18842991191</v>
      </c>
      <c r="G85" s="1" t="s">
        <v>374</v>
      </c>
      <c r="H85" s="1">
        <v>53</v>
      </c>
      <c r="I85" s="3">
        <v>38</v>
      </c>
      <c r="J85" s="1" t="s">
        <v>71</v>
      </c>
      <c r="K85" s="1">
        <v>304</v>
      </c>
    </row>
    <row r="86" spans="1:11">
      <c r="A86" s="2" t="s">
        <v>362</v>
      </c>
      <c r="B86" s="2" t="s">
        <v>12</v>
      </c>
      <c r="C86" s="1" t="s">
        <v>363</v>
      </c>
      <c r="D86" s="1" t="s">
        <v>375</v>
      </c>
      <c r="E86" s="1">
        <v>3063382292</v>
      </c>
      <c r="F86" s="1">
        <v>15874852751</v>
      </c>
      <c r="G86" s="1" t="s">
        <v>376</v>
      </c>
      <c r="H86" s="1">
        <v>51</v>
      </c>
      <c r="I86" s="1">
        <v>51</v>
      </c>
      <c r="J86" s="1" t="s">
        <v>71</v>
      </c>
      <c r="K86" s="1">
        <v>408</v>
      </c>
    </row>
    <row r="87" spans="1:11">
      <c r="A87" s="2" t="s">
        <v>362</v>
      </c>
      <c r="B87" s="2" t="s">
        <v>12</v>
      </c>
      <c r="C87" s="1" t="s">
        <v>365</v>
      </c>
      <c r="D87" s="1" t="s">
        <v>378</v>
      </c>
      <c r="E87" s="1">
        <v>2433391603</v>
      </c>
      <c r="F87" s="1">
        <v>18598919268</v>
      </c>
      <c r="G87" s="1" t="s">
        <v>379</v>
      </c>
      <c r="H87" s="3">
        <v>40</v>
      </c>
      <c r="I87" s="3">
        <v>20</v>
      </c>
      <c r="J87" s="1" t="s">
        <v>71</v>
      </c>
      <c r="K87" s="1">
        <v>160</v>
      </c>
    </row>
    <row r="88" spans="1:11">
      <c r="A88" s="2" t="s">
        <v>362</v>
      </c>
      <c r="B88" s="2" t="s">
        <v>20</v>
      </c>
      <c r="C88" s="1" t="s">
        <v>363</v>
      </c>
      <c r="D88" s="1" t="s">
        <v>380</v>
      </c>
      <c r="E88" s="1">
        <v>2668030630</v>
      </c>
      <c r="F88" s="1">
        <v>19324652635</v>
      </c>
      <c r="G88" s="1" t="s">
        <v>381</v>
      </c>
      <c r="H88" s="1">
        <v>39</v>
      </c>
      <c r="I88" s="3">
        <v>37</v>
      </c>
      <c r="J88" s="1" t="s">
        <v>71</v>
      </c>
      <c r="K88" s="1">
        <v>296</v>
      </c>
    </row>
    <row r="89" spans="1:11">
      <c r="A89" s="2" t="s">
        <v>362</v>
      </c>
      <c r="B89" s="2" t="s">
        <v>20</v>
      </c>
      <c r="C89" s="1" t="s">
        <v>365</v>
      </c>
      <c r="D89" s="1" t="s">
        <v>383</v>
      </c>
      <c r="E89" s="1">
        <v>3077754824</v>
      </c>
      <c r="F89" s="1">
        <v>17886617295</v>
      </c>
      <c r="G89" s="1" t="s">
        <v>198</v>
      </c>
      <c r="H89" s="1">
        <v>41</v>
      </c>
      <c r="I89" s="3">
        <v>30</v>
      </c>
      <c r="J89" s="1" t="s">
        <v>71</v>
      </c>
      <c r="K89" s="1">
        <v>240</v>
      </c>
    </row>
    <row r="90" spans="1:11">
      <c r="A90" s="2" t="s">
        <v>396</v>
      </c>
      <c r="B90" s="2" t="s">
        <v>175</v>
      </c>
      <c r="C90" s="1" t="s">
        <v>82</v>
      </c>
      <c r="D90" s="1" t="s">
        <v>397</v>
      </c>
      <c r="E90" s="1">
        <v>3230895335</v>
      </c>
      <c r="F90" s="1">
        <v>19376683137</v>
      </c>
      <c r="G90" s="1" t="s">
        <v>398</v>
      </c>
      <c r="H90" s="1">
        <v>36</v>
      </c>
      <c r="I90" s="1">
        <v>36</v>
      </c>
      <c r="J90" s="1" t="s">
        <v>71</v>
      </c>
      <c r="K90" s="1">
        <v>288</v>
      </c>
    </row>
    <row r="91" spans="1:11">
      <c r="A91" s="2" t="s">
        <v>396</v>
      </c>
      <c r="B91" s="2" t="s">
        <v>175</v>
      </c>
      <c r="C91" s="1" t="s">
        <v>85</v>
      </c>
      <c r="D91" s="1" t="s">
        <v>399</v>
      </c>
      <c r="E91" s="1">
        <v>1321523759</v>
      </c>
      <c r="F91" s="1">
        <v>13135322726</v>
      </c>
      <c r="G91" s="1" t="s">
        <v>400</v>
      </c>
      <c r="H91" s="1">
        <v>36</v>
      </c>
      <c r="I91" s="1">
        <v>36</v>
      </c>
      <c r="J91" s="1" t="s">
        <v>71</v>
      </c>
      <c r="K91" s="1">
        <v>288</v>
      </c>
    </row>
    <row r="92" spans="1:11">
      <c r="A92" s="2" t="s">
        <v>396</v>
      </c>
      <c r="B92" s="2" t="s">
        <v>175</v>
      </c>
      <c r="C92" s="1" t="s">
        <v>78</v>
      </c>
      <c r="D92" s="1" t="s">
        <v>401</v>
      </c>
      <c r="E92" s="1">
        <v>2022601747</v>
      </c>
      <c r="F92" s="1">
        <v>13187025001</v>
      </c>
      <c r="G92" s="1" t="s">
        <v>402</v>
      </c>
      <c r="H92" s="1">
        <v>36</v>
      </c>
      <c r="I92" s="1">
        <v>36</v>
      </c>
      <c r="J92" s="1" t="s">
        <v>71</v>
      </c>
      <c r="K92" s="1">
        <v>288</v>
      </c>
    </row>
    <row r="93" spans="1:11">
      <c r="A93" s="2" t="s">
        <v>396</v>
      </c>
      <c r="B93" s="2" t="s">
        <v>175</v>
      </c>
      <c r="C93" s="1" t="s">
        <v>403</v>
      </c>
      <c r="D93" s="1" t="s">
        <v>404</v>
      </c>
      <c r="E93" s="1">
        <v>2653702646</v>
      </c>
      <c r="F93" s="1">
        <v>19196018568</v>
      </c>
      <c r="G93" s="1" t="s">
        <v>405</v>
      </c>
      <c r="H93" s="1">
        <v>34</v>
      </c>
      <c r="I93" s="1">
        <v>34</v>
      </c>
      <c r="J93" s="1" t="s">
        <v>71</v>
      </c>
      <c r="K93" s="1">
        <v>272</v>
      </c>
    </row>
    <row r="94" spans="1:11">
      <c r="A94" s="2" t="s">
        <v>396</v>
      </c>
      <c r="B94" s="1" t="s">
        <v>107</v>
      </c>
      <c r="C94" s="1" t="s">
        <v>167</v>
      </c>
      <c r="D94" s="1" t="s">
        <v>406</v>
      </c>
      <c r="E94" s="1">
        <v>3394162164</v>
      </c>
      <c r="F94" s="1">
        <v>17773517806</v>
      </c>
      <c r="G94" s="1" t="s">
        <v>407</v>
      </c>
      <c r="H94" s="1">
        <v>27</v>
      </c>
      <c r="I94" s="1">
        <v>27</v>
      </c>
      <c r="J94" s="1" t="s">
        <v>71</v>
      </c>
      <c r="K94" s="1">
        <v>216</v>
      </c>
    </row>
    <row r="95" spans="1:11">
      <c r="A95" s="2" t="s">
        <v>396</v>
      </c>
      <c r="B95" s="1" t="s">
        <v>20</v>
      </c>
      <c r="C95" s="1" t="s">
        <v>408</v>
      </c>
      <c r="D95" s="1" t="s">
        <v>409</v>
      </c>
      <c r="E95" s="1">
        <v>1106540196</v>
      </c>
      <c r="F95" s="1">
        <v>18973748683</v>
      </c>
      <c r="G95" s="1" t="s">
        <v>410</v>
      </c>
      <c r="H95" s="1">
        <v>27</v>
      </c>
      <c r="I95" s="1">
        <v>27</v>
      </c>
      <c r="J95" s="1" t="s">
        <v>71</v>
      </c>
      <c r="K95" s="1">
        <v>216</v>
      </c>
    </row>
    <row r="96" spans="1:11">
      <c r="A96" s="2" t="s">
        <v>411</v>
      </c>
      <c r="B96" s="1" t="s">
        <v>175</v>
      </c>
      <c r="C96" s="1" t="s">
        <v>412</v>
      </c>
      <c r="D96" s="1" t="s">
        <v>413</v>
      </c>
      <c r="E96" s="1">
        <v>1938726166</v>
      </c>
      <c r="F96" s="1">
        <v>15575252429</v>
      </c>
      <c r="G96" s="1" t="s">
        <v>414</v>
      </c>
      <c r="H96" s="1">
        <v>37</v>
      </c>
      <c r="I96" s="3">
        <v>37</v>
      </c>
      <c r="J96" s="1" t="s">
        <v>71</v>
      </c>
      <c r="K96" s="1">
        <v>296</v>
      </c>
    </row>
    <row r="97" spans="1:11">
      <c r="A97" s="2" t="s">
        <v>411</v>
      </c>
      <c r="B97" s="2" t="s">
        <v>12</v>
      </c>
      <c r="C97" s="1" t="s">
        <v>415</v>
      </c>
      <c r="D97" s="1" t="s">
        <v>416</v>
      </c>
      <c r="E97" s="3">
        <v>2497621284</v>
      </c>
      <c r="F97" s="1">
        <v>19831039638</v>
      </c>
      <c r="G97" s="4" t="s">
        <v>417</v>
      </c>
      <c r="H97" s="1">
        <v>40</v>
      </c>
      <c r="I97" s="3">
        <v>20</v>
      </c>
      <c r="J97" s="1" t="s">
        <v>71</v>
      </c>
      <c r="K97" s="1">
        <v>160</v>
      </c>
    </row>
    <row r="98" spans="1:11">
      <c r="A98" s="2" t="s">
        <v>411</v>
      </c>
      <c r="B98" s="2" t="s">
        <v>12</v>
      </c>
      <c r="C98" s="1" t="s">
        <v>421</v>
      </c>
      <c r="D98" s="1" t="s">
        <v>422</v>
      </c>
      <c r="E98" s="1">
        <v>3468243849</v>
      </c>
      <c r="F98" s="1">
        <v>15570946029</v>
      </c>
      <c r="G98" s="1" t="s">
        <v>423</v>
      </c>
      <c r="H98" s="1">
        <v>40</v>
      </c>
      <c r="I98" s="1">
        <v>20</v>
      </c>
      <c r="J98" s="1" t="s">
        <v>71</v>
      </c>
      <c r="K98" s="1">
        <v>160</v>
      </c>
    </row>
    <row r="99" spans="1:11">
      <c r="A99" s="2" t="s">
        <v>411</v>
      </c>
      <c r="B99" s="2" t="s">
        <v>12</v>
      </c>
      <c r="C99" s="1" t="s">
        <v>424</v>
      </c>
      <c r="D99" s="1" t="s">
        <v>425</v>
      </c>
      <c r="E99" s="1">
        <v>1330833249</v>
      </c>
      <c r="F99" s="1">
        <v>18397785972</v>
      </c>
      <c r="G99" s="1" t="s">
        <v>426</v>
      </c>
      <c r="H99" s="1">
        <v>39</v>
      </c>
      <c r="I99" s="1">
        <v>39</v>
      </c>
      <c r="J99" s="1" t="s">
        <v>71</v>
      </c>
      <c r="K99" s="1">
        <v>312</v>
      </c>
    </row>
    <row r="100" spans="1:11">
      <c r="A100" s="2" t="s">
        <v>411</v>
      </c>
      <c r="B100" s="2" t="s">
        <v>20</v>
      </c>
      <c r="C100" s="1" t="s">
        <v>427</v>
      </c>
      <c r="D100" s="1" t="s">
        <v>428</v>
      </c>
      <c r="E100" s="3">
        <v>1447954153</v>
      </c>
      <c r="F100" s="1">
        <v>19904578858</v>
      </c>
      <c r="G100" s="1" t="s">
        <v>429</v>
      </c>
      <c r="H100" s="1">
        <v>35</v>
      </c>
      <c r="I100" s="3">
        <v>35</v>
      </c>
      <c r="J100" s="1" t="s">
        <v>71</v>
      </c>
      <c r="K100" s="1">
        <v>280</v>
      </c>
    </row>
    <row r="101" spans="1:11">
      <c r="A101" s="2" t="s">
        <v>411</v>
      </c>
      <c r="B101" s="2" t="s">
        <v>20</v>
      </c>
      <c r="C101" s="1" t="s">
        <v>431</v>
      </c>
      <c r="D101" s="1" t="s">
        <v>432</v>
      </c>
      <c r="E101" s="1">
        <v>3228237025</v>
      </c>
      <c r="F101" s="1">
        <v>15973108772</v>
      </c>
      <c r="G101" s="1" t="s">
        <v>433</v>
      </c>
      <c r="H101" s="1">
        <v>29</v>
      </c>
      <c r="I101" s="3">
        <v>29</v>
      </c>
      <c r="J101" s="1" t="s">
        <v>71</v>
      </c>
      <c r="K101" s="1">
        <v>232</v>
      </c>
    </row>
    <row r="102" spans="1:11">
      <c r="A102" s="2" t="s">
        <v>411</v>
      </c>
      <c r="B102" s="2" t="s">
        <v>20</v>
      </c>
      <c r="C102" s="1" t="s">
        <v>434</v>
      </c>
      <c r="D102" s="1" t="s">
        <v>435</v>
      </c>
      <c r="E102" s="1">
        <v>3203593662</v>
      </c>
      <c r="F102" s="1">
        <v>18570209869</v>
      </c>
      <c r="G102" s="1" t="s">
        <v>436</v>
      </c>
      <c r="H102" s="1">
        <v>35</v>
      </c>
      <c r="I102" s="3">
        <v>19</v>
      </c>
      <c r="J102" s="1" t="s">
        <v>71</v>
      </c>
      <c r="K102" s="1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刘海灿</cp:lastModifiedBy>
  <dcterms:created xsi:type="dcterms:W3CDTF">2025-11-26T13:19:00Z</dcterms:created>
  <dcterms:modified xsi:type="dcterms:W3CDTF">2026-09-04T00:27:28Z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CBAE2D855F2D4CC5AAECFAC042F75922_11</vt:lpwstr>
  </property>
  <property fmtid="{D5CDD505-2E9C-101B-9397-08002B2CF9AE}" pid="3" name="KSOProductBuildVer">
    <vt:lpwstr>2052-12.1.0.23542</vt:lpwstr>
  </property>
</Properties>
</file>